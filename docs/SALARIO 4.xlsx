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DOCUMENTOS ESCRITORIO\RH\RH\NATHIELI\NATHI DOCS\"/>
    </mc:Choice>
  </mc:AlternateContent>
  <xr:revisionPtr revIDLastSave="0" documentId="13_ncr:1_{AA71D9FF-74F8-4AF8-B898-1529FC8F7CC1}" xr6:coauthVersionLast="47" xr6:coauthVersionMax="47" xr10:uidLastSave="{00000000-0000-0000-0000-000000000000}"/>
  <bookViews>
    <workbookView xWindow="-120" yWindow="-120" windowWidth="29040" windowHeight="15840" firstSheet="1" activeTab="6" xr2:uid="{4F42CD97-4ED6-4F37-9B98-5D99883ADD2D}"/>
  </bookViews>
  <sheets>
    <sheet name="FOLHA 2024" sheetId="5" r:id="rId1"/>
    <sheet name="PROLABORE" sheetId="2" r:id="rId2"/>
    <sheet name="PROLABORE 25" sheetId="9" r:id="rId3"/>
    <sheet name="PROLABORE 26" sheetId="12" r:id="rId4"/>
    <sheet name="FOLHA 2025" sheetId="6" r:id="rId5"/>
    <sheet name="FOLHA 2025 (2)" sheetId="8" r:id="rId6"/>
    <sheet name="FOLHA 2026" sheetId="10" r:id="rId7"/>
    <sheet name="FOLHA 2026 open" sheetId="11" r:id="rId8"/>
    <sheet name="MULTA FGTS" sheetId="4" r:id="rId9"/>
  </sheets>
  <definedNames>
    <definedName name="SIMPLIFICADO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4" l="1"/>
  <c r="D6" i="4"/>
  <c r="P23" i="8"/>
  <c r="P22" i="8"/>
  <c r="Q34" i="8"/>
  <c r="AA14" i="10"/>
  <c r="AB11" i="10"/>
  <c r="AB10" i="10" s="1"/>
  <c r="AB9" i="10" s="1"/>
  <c r="AB8" i="10" s="1"/>
  <c r="Z16" i="10" s="1"/>
  <c r="AB12" i="10"/>
  <c r="AA18" i="10"/>
  <c r="AA17" i="10"/>
  <c r="P24" i="12" l="1"/>
  <c r="I8" i="12"/>
  <c r="Q29" i="12" s="1"/>
  <c r="P29" i="12" s="1"/>
  <c r="AC6" i="12"/>
  <c r="AB6" i="12"/>
  <c r="AA6" i="12"/>
  <c r="Z6" i="12"/>
  <c r="S6" i="12"/>
  <c r="AC5" i="12"/>
  <c r="AB5" i="12"/>
  <c r="AA5" i="12"/>
  <c r="Z5" i="12"/>
  <c r="AC4" i="12"/>
  <c r="AB4" i="12"/>
  <c r="AA4" i="12"/>
  <c r="Z4" i="12"/>
  <c r="AC3" i="12"/>
  <c r="AB3" i="12"/>
  <c r="AA3" i="12"/>
  <c r="Z3" i="12"/>
  <c r="U3" i="12"/>
  <c r="V3" i="12" s="1"/>
  <c r="T3" i="12"/>
  <c r="S3" i="12"/>
  <c r="S7" i="12" s="1"/>
  <c r="AC2" i="12"/>
  <c r="AB2" i="12"/>
  <c r="AA2" i="12"/>
  <c r="Z2" i="12"/>
  <c r="S2" i="12"/>
  <c r="S1" i="12"/>
  <c r="S5" i="12" s="1"/>
  <c r="F22" i="4"/>
  <c r="E22" i="4"/>
  <c r="F21" i="4"/>
  <c r="E21" i="4"/>
  <c r="G21" i="4"/>
  <c r="U6" i="4"/>
  <c r="U5" i="4"/>
  <c r="T14" i="4"/>
  <c r="U14" i="4" s="1"/>
  <c r="Q32" i="12" l="1"/>
  <c r="P32" i="12" s="1"/>
  <c r="Q30" i="12"/>
  <c r="P30" i="12" s="1"/>
  <c r="F24" i="11"/>
  <c r="F12" i="11"/>
  <c r="N27" i="11" s="1"/>
  <c r="O24" i="11"/>
  <c r="O30" i="11" s="1"/>
  <c r="AA18" i="11"/>
  <c r="AA17" i="11"/>
  <c r="J7" i="11"/>
  <c r="J19" i="11" s="1"/>
  <c r="AB6" i="11"/>
  <c r="AA6" i="11"/>
  <c r="Z6" i="11"/>
  <c r="Y6" i="11"/>
  <c r="AB5" i="11"/>
  <c r="AA5" i="11"/>
  <c r="Z5" i="11"/>
  <c r="Y5" i="11"/>
  <c r="AB4" i="11"/>
  <c r="AA4" i="11"/>
  <c r="Z4" i="11"/>
  <c r="Y4" i="11"/>
  <c r="AB3" i="11"/>
  <c r="AA3" i="11"/>
  <c r="Z3" i="11"/>
  <c r="T3" i="11"/>
  <c r="S3" i="11"/>
  <c r="R3" i="11"/>
  <c r="R7" i="11" s="1"/>
  <c r="AB2" i="11"/>
  <c r="AA2" i="11"/>
  <c r="Z2" i="11"/>
  <c r="R2" i="11"/>
  <c r="R6" i="11" s="1"/>
  <c r="R1" i="11"/>
  <c r="R5" i="11" s="1"/>
  <c r="P31" i="12" l="1"/>
  <c r="I4" i="12" s="1"/>
  <c r="I5" i="12" s="1"/>
  <c r="O27" i="11"/>
  <c r="P27" i="11" s="1"/>
  <c r="Q13" i="11" s="1"/>
  <c r="O28" i="11"/>
  <c r="U3" i="11"/>
  <c r="I19" i="11"/>
  <c r="J22" i="11"/>
  <c r="I22" i="11" s="1"/>
  <c r="J20" i="11"/>
  <c r="I20" i="11" s="1"/>
  <c r="P24" i="10"/>
  <c r="I8" i="10"/>
  <c r="AC6" i="10"/>
  <c r="AB6" i="10"/>
  <c r="AA6" i="10"/>
  <c r="Z6" i="10"/>
  <c r="AC5" i="10"/>
  <c r="AB5" i="10"/>
  <c r="AA5" i="10"/>
  <c r="Z5" i="10"/>
  <c r="AC4" i="10"/>
  <c r="AB4" i="10"/>
  <c r="AA4" i="10"/>
  <c r="Z4" i="10"/>
  <c r="AC3" i="10"/>
  <c r="AB3" i="10"/>
  <c r="AA3" i="10"/>
  <c r="U3" i="10"/>
  <c r="T3" i="10"/>
  <c r="V3" i="10" s="1"/>
  <c r="S3" i="10"/>
  <c r="S7" i="10" s="1"/>
  <c r="AC2" i="10"/>
  <c r="AB2" i="10"/>
  <c r="AA2" i="10"/>
  <c r="S2" i="10"/>
  <c r="S6" i="10" s="1"/>
  <c r="S1" i="10"/>
  <c r="S5" i="10" s="1"/>
  <c r="Q29" i="10" l="1"/>
  <c r="P29" i="10" s="1"/>
  <c r="H22" i="10"/>
  <c r="V2" i="12"/>
  <c r="F3" i="12"/>
  <c r="N32" i="11"/>
  <c r="P32" i="11" s="1"/>
  <c r="O29" i="11"/>
  <c r="I21" i="11"/>
  <c r="J4" i="11" s="1"/>
  <c r="J5" i="11" s="1"/>
  <c r="F3" i="11" s="1"/>
  <c r="Q32" i="10"/>
  <c r="P32" i="10" s="1"/>
  <c r="Q30" i="10"/>
  <c r="P30" i="10" s="1"/>
  <c r="F4" i="12" l="1"/>
  <c r="V4" i="12"/>
  <c r="V5" i="12"/>
  <c r="P31" i="10"/>
  <c r="I4" i="10" s="1"/>
  <c r="F4" i="11"/>
  <c r="U2" i="11"/>
  <c r="O21" i="12" l="1"/>
  <c r="I5" i="10"/>
  <c r="F3" i="10" s="1"/>
  <c r="F4" i="10" s="1"/>
  <c r="U4" i="11"/>
  <c r="U5" i="11" s="1"/>
  <c r="N21" i="11" s="1"/>
  <c r="P21" i="12" l="1"/>
  <c r="P22" i="12"/>
  <c r="P23" i="12" s="1"/>
  <c r="F5" i="12" s="1"/>
  <c r="I10" i="12"/>
  <c r="Q21" i="12"/>
  <c r="V2" i="10"/>
  <c r="V4" i="10" s="1"/>
  <c r="V5" i="10" s="1"/>
  <c r="O21" i="10" s="1"/>
  <c r="P22" i="10" s="1"/>
  <c r="P23" i="10" s="1"/>
  <c r="O21" i="11"/>
  <c r="P21" i="11" s="1"/>
  <c r="O22" i="11"/>
  <c r="P28" i="11" s="1"/>
  <c r="P21" i="10" l="1"/>
  <c r="W2" i="10" s="1"/>
  <c r="F5" i="10"/>
  <c r="R13" i="12"/>
  <c r="Q22" i="12"/>
  <c r="R14" i="12" s="1"/>
  <c r="O34" i="12"/>
  <c r="Q34" i="12" s="1"/>
  <c r="P33" i="11"/>
  <c r="P29" i="11" s="1"/>
  <c r="Q15" i="11" s="1"/>
  <c r="Q14" i="11"/>
  <c r="O23" i="11"/>
  <c r="F5" i="11" s="1"/>
  <c r="P22" i="11"/>
  <c r="W5" i="10" l="1"/>
  <c r="W4" i="10"/>
  <c r="W3" i="10"/>
  <c r="Q35" i="12"/>
  <c r="P23" i="11"/>
  <c r="Q16" i="11"/>
  <c r="Q17" i="11" s="1"/>
  <c r="I10" i="10"/>
  <c r="F14" i="11"/>
  <c r="F26" i="11"/>
  <c r="J9" i="11"/>
  <c r="R15" i="12" l="1"/>
  <c r="R16" i="12" s="1"/>
  <c r="R17" i="12" s="1"/>
  <c r="Q23" i="12"/>
  <c r="F6" i="12" s="1"/>
  <c r="F8" i="12" s="1"/>
  <c r="Q21" i="10"/>
  <c r="Q18" i="11"/>
  <c r="F27" i="11"/>
  <c r="F29" i="11" s="1"/>
  <c r="F30" i="11" s="1"/>
  <c r="F6" i="11"/>
  <c r="F8" i="11" s="1"/>
  <c r="Q22" i="10" l="1"/>
  <c r="Q35" i="10" s="1"/>
  <c r="R13" i="10"/>
  <c r="O34" i="10"/>
  <c r="Q34" i="10" s="1"/>
  <c r="E32" i="4"/>
  <c r="C33" i="4" s="1"/>
  <c r="E33" i="4" s="1"/>
  <c r="C34" i="4" s="1"/>
  <c r="E34" i="4" s="1"/>
  <c r="C35" i="4" s="1"/>
  <c r="E35" i="4" s="1"/>
  <c r="C36" i="4" s="1"/>
  <c r="E36" i="4" s="1"/>
  <c r="C37" i="4" s="1"/>
  <c r="E37" i="4" s="1"/>
  <c r="C38" i="4" s="1"/>
  <c r="E38" i="4" s="1"/>
  <c r="C39" i="4" s="1"/>
  <c r="E39" i="4" s="1"/>
  <c r="C40" i="4" s="1"/>
  <c r="E40" i="4" s="1"/>
  <c r="C41" i="4" s="1"/>
  <c r="E41" i="4" s="1"/>
  <c r="C42" i="4" s="1"/>
  <c r="E42" i="4" s="1"/>
  <c r="C43" i="4" s="1"/>
  <c r="E43" i="4" s="1"/>
  <c r="C44" i="4" s="1"/>
  <c r="E44" i="4" s="1"/>
  <c r="R15" i="10" l="1"/>
  <c r="R14" i="10"/>
  <c r="I8" i="8"/>
  <c r="Q29" i="8" s="1"/>
  <c r="P24" i="9"/>
  <c r="I8" i="9"/>
  <c r="Q29" i="9" s="1"/>
  <c r="AC6" i="9"/>
  <c r="AB6" i="9"/>
  <c r="AA6" i="9"/>
  <c r="Z6" i="9"/>
  <c r="AC5" i="9"/>
  <c r="AB5" i="9"/>
  <c r="AA5" i="9"/>
  <c r="Z5" i="9"/>
  <c r="Q5" i="9"/>
  <c r="AC4" i="9"/>
  <c r="AB4" i="9"/>
  <c r="AA4" i="9"/>
  <c r="Z4" i="9"/>
  <c r="Q4" i="9"/>
  <c r="AC3" i="9"/>
  <c r="AB3" i="9"/>
  <c r="AA3" i="9"/>
  <c r="Z3" i="9"/>
  <c r="U3" i="9"/>
  <c r="T3" i="9"/>
  <c r="S3" i="9"/>
  <c r="S7" i="9" s="1"/>
  <c r="Q3" i="9"/>
  <c r="AC2" i="9"/>
  <c r="AB2" i="9"/>
  <c r="AA2" i="9"/>
  <c r="Z2" i="9"/>
  <c r="S2" i="9"/>
  <c r="S6" i="9" s="1"/>
  <c r="Q2" i="9"/>
  <c r="Q6" i="9" s="1"/>
  <c r="S1" i="9"/>
  <c r="S5" i="9" s="1"/>
  <c r="P24" i="8"/>
  <c r="AB18" i="8"/>
  <c r="AB17" i="8"/>
  <c r="AC6" i="8"/>
  <c r="AB6" i="8"/>
  <c r="AA6" i="8"/>
  <c r="Z6" i="8"/>
  <c r="AC5" i="8"/>
  <c r="AB5" i="8"/>
  <c r="AA5" i="8"/>
  <c r="Z5" i="8"/>
  <c r="Q5" i="8"/>
  <c r="AC4" i="8"/>
  <c r="AB4" i="8"/>
  <c r="AA4" i="8"/>
  <c r="Z4" i="8"/>
  <c r="Q4" i="8"/>
  <c r="AC3" i="8"/>
  <c r="AB3" i="8"/>
  <c r="AA3" i="8"/>
  <c r="U3" i="8"/>
  <c r="V3" i="8" s="1"/>
  <c r="T3" i="8"/>
  <c r="S3" i="8"/>
  <c r="S7" i="8" s="1"/>
  <c r="Q3" i="8"/>
  <c r="AC2" i="8"/>
  <c r="AB2" i="8"/>
  <c r="AA2" i="8"/>
  <c r="S2" i="8"/>
  <c r="S6" i="8" s="1"/>
  <c r="Q2" i="8"/>
  <c r="Q6" i="8" s="1"/>
  <c r="S1" i="8"/>
  <c r="S5" i="8" s="1"/>
  <c r="R16" i="10" l="1"/>
  <c r="R17" i="10" s="1"/>
  <c r="R18" i="10" s="1"/>
  <c r="F6" i="10" s="1"/>
  <c r="V3" i="9"/>
  <c r="Q32" i="8"/>
  <c r="P32" i="8" s="1"/>
  <c r="P29" i="9"/>
  <c r="Q32" i="9"/>
  <c r="P32" i="9" s="1"/>
  <c r="Q30" i="9"/>
  <c r="P30" i="9" s="1"/>
  <c r="P29" i="8"/>
  <c r="Q30" i="8"/>
  <c r="P30" i="8" s="1"/>
  <c r="P31" i="9" l="1"/>
  <c r="I4" i="9" s="1"/>
  <c r="I5" i="9" s="1"/>
  <c r="P31" i="8"/>
  <c r="I4" i="8" l="1"/>
  <c r="I5" i="8" s="1"/>
  <c r="V2" i="9"/>
  <c r="F3" i="9"/>
  <c r="F3" i="8" l="1"/>
  <c r="F4" i="8" s="1"/>
  <c r="V2" i="8"/>
  <c r="V4" i="8" s="1"/>
  <c r="V5" i="8" s="1"/>
  <c r="F4" i="9"/>
  <c r="V4" i="9"/>
  <c r="V5" i="9" s="1"/>
  <c r="O21" i="8" l="1"/>
  <c r="O21" i="9"/>
  <c r="P21" i="9" s="1"/>
  <c r="P21" i="8" l="1"/>
  <c r="F5" i="8"/>
  <c r="P22" i="9"/>
  <c r="P23" i="9" s="1"/>
  <c r="F5" i="9" s="1"/>
  <c r="I10" i="9"/>
  <c r="Q21" i="9"/>
  <c r="O34" i="9" s="1"/>
  <c r="I10" i="8"/>
  <c r="Q21" i="8"/>
  <c r="O34" i="8" l="1"/>
  <c r="Q22" i="9"/>
  <c r="Q35" i="9" s="1"/>
  <c r="Q34" i="9"/>
  <c r="Q22" i="8"/>
  <c r="Q35" i="8" s="1"/>
  <c r="Q23" i="8" l="1"/>
  <c r="F6" i="8" s="1"/>
  <c r="Q23" i="9"/>
  <c r="F6" i="9" s="1"/>
  <c r="F8" i="9" s="1"/>
  <c r="F8" i="8" l="1"/>
  <c r="F9" i="8" s="1"/>
  <c r="G10" i="4"/>
  <c r="G11" i="4" s="1"/>
  <c r="D7" i="4" s="1"/>
  <c r="I8" i="6"/>
  <c r="Q30" i="6" s="1"/>
  <c r="AC6" i="6"/>
  <c r="AB6" i="6"/>
  <c r="AA6" i="6"/>
  <c r="AC5" i="6"/>
  <c r="AB5" i="6"/>
  <c r="AA5" i="6"/>
  <c r="AC4" i="6"/>
  <c r="AB4" i="6"/>
  <c r="AA4" i="6"/>
  <c r="AC3" i="6"/>
  <c r="AB3" i="6"/>
  <c r="AA3" i="6"/>
  <c r="AC2" i="6"/>
  <c r="AB2" i="6"/>
  <c r="AA2" i="6"/>
  <c r="Q5" i="6"/>
  <c r="Q4" i="6"/>
  <c r="Q3" i="6"/>
  <c r="Q2" i="6"/>
  <c r="Q6" i="6" s="1"/>
  <c r="P24" i="6"/>
  <c r="Z6" i="6"/>
  <c r="Z5" i="6"/>
  <c r="Z4" i="6"/>
  <c r="AB18" i="6"/>
  <c r="U3" i="6"/>
  <c r="V3" i="6" s="1"/>
  <c r="T3" i="6"/>
  <c r="S3" i="6"/>
  <c r="S7" i="6" s="1"/>
  <c r="AB17" i="6"/>
  <c r="S2" i="6"/>
  <c r="S6" i="6" s="1"/>
  <c r="S1" i="6"/>
  <c r="S5" i="6" s="1"/>
  <c r="P24" i="2"/>
  <c r="Q5" i="2"/>
  <c r="Q4" i="2"/>
  <c r="Q3" i="2"/>
  <c r="Q2" i="2"/>
  <c r="P24" i="5"/>
  <c r="I8" i="5"/>
  <c r="Q30" i="5" s="1"/>
  <c r="AC6" i="5"/>
  <c r="AB6" i="5"/>
  <c r="AA6" i="5"/>
  <c r="Z6" i="5"/>
  <c r="AC5" i="5"/>
  <c r="AB5" i="5"/>
  <c r="AA5" i="5"/>
  <c r="Z5" i="5"/>
  <c r="Q5" i="5"/>
  <c r="AC4" i="5"/>
  <c r="AB4" i="5"/>
  <c r="AA4" i="5"/>
  <c r="Z4" i="5"/>
  <c r="Q4" i="5"/>
  <c r="AC3" i="5"/>
  <c r="AB3" i="5"/>
  <c r="AA3" i="5"/>
  <c r="Z3" i="5"/>
  <c r="U3" i="5"/>
  <c r="V3" i="5" s="1"/>
  <c r="T3" i="5"/>
  <c r="S3" i="5"/>
  <c r="S7" i="5" s="1"/>
  <c r="Q3" i="5"/>
  <c r="AC2" i="5"/>
  <c r="AB2" i="5"/>
  <c r="AA2" i="5"/>
  <c r="Z2" i="5"/>
  <c r="S2" i="5"/>
  <c r="S6" i="5" s="1"/>
  <c r="Q2" i="5"/>
  <c r="S1" i="5"/>
  <c r="S5" i="5" s="1"/>
  <c r="N13" i="4"/>
  <c r="O13" i="4" s="1"/>
  <c r="P13" i="4" s="1"/>
  <c r="N17" i="4" s="1"/>
  <c r="N16" i="4"/>
  <c r="R5" i="4"/>
  <c r="P5" i="4"/>
  <c r="Q5" i="4"/>
  <c r="E20" i="4"/>
  <c r="E19" i="4"/>
  <c r="A3" i="4"/>
  <c r="Q6" i="5" l="1"/>
  <c r="Q29" i="5"/>
  <c r="P29" i="5" s="1"/>
  <c r="P30" i="6"/>
  <c r="Q29" i="6"/>
  <c r="P29" i="6" s="1"/>
  <c r="Q6" i="2"/>
  <c r="Q32" i="6"/>
  <c r="P32" i="6" s="1"/>
  <c r="P30" i="5"/>
  <c r="Q32" i="5"/>
  <c r="P32" i="5" s="1"/>
  <c r="P6" i="4"/>
  <c r="R6" i="4" s="1"/>
  <c r="D8" i="4"/>
  <c r="D9" i="4" s="1"/>
  <c r="D10" i="4" s="1"/>
  <c r="P31" i="5" l="1"/>
  <c r="I4" i="5" s="1"/>
  <c r="I5" i="5" s="1"/>
  <c r="P31" i="6"/>
  <c r="I4" i="6" s="1"/>
  <c r="I5" i="6" s="1"/>
  <c r="F3" i="6" s="1"/>
  <c r="V2" i="5"/>
  <c r="F3" i="5"/>
  <c r="I8" i="2"/>
  <c r="AC6" i="2"/>
  <c r="AB6" i="2"/>
  <c r="AA6" i="2"/>
  <c r="Z6" i="2"/>
  <c r="AC5" i="2"/>
  <c r="AB5" i="2"/>
  <c r="AA5" i="2"/>
  <c r="Z5" i="2"/>
  <c r="AC4" i="2"/>
  <c r="AB4" i="2"/>
  <c r="AA4" i="2"/>
  <c r="Z4" i="2"/>
  <c r="AC3" i="2"/>
  <c r="AB3" i="2"/>
  <c r="AA3" i="2"/>
  <c r="Z3" i="2"/>
  <c r="U3" i="2"/>
  <c r="V3" i="2" s="1"/>
  <c r="T3" i="2"/>
  <c r="S3" i="2"/>
  <c r="S7" i="2" s="1"/>
  <c r="AC2" i="2"/>
  <c r="AB2" i="2"/>
  <c r="AA2" i="2"/>
  <c r="Z2" i="2"/>
  <c r="S2" i="2"/>
  <c r="S6" i="2" s="1"/>
  <c r="S1" i="2"/>
  <c r="S5" i="2" s="1"/>
  <c r="V2" i="6" l="1"/>
  <c r="V4" i="6" s="1"/>
  <c r="V5" i="6" s="1"/>
  <c r="Q30" i="2"/>
  <c r="P30" i="2" s="1"/>
  <c r="Q32" i="2"/>
  <c r="P32" i="2" s="1"/>
  <c r="Q29" i="2"/>
  <c r="P29" i="2" s="1"/>
  <c r="F4" i="6"/>
  <c r="F4" i="5"/>
  <c r="V4" i="5"/>
  <c r="V5" i="5" s="1"/>
  <c r="O21" i="5" s="1"/>
  <c r="O21" i="6" l="1"/>
  <c r="P22" i="6" s="1"/>
  <c r="P23" i="6" s="1"/>
  <c r="F5" i="6" s="1"/>
  <c r="P31" i="2"/>
  <c r="I4" i="2" s="1"/>
  <c r="I5" i="2" s="1"/>
  <c r="P21" i="5"/>
  <c r="P22" i="5"/>
  <c r="P23" i="5" s="1"/>
  <c r="F5" i="5" s="1"/>
  <c r="P21" i="6" l="1"/>
  <c r="I10" i="6" s="1"/>
  <c r="I10" i="5"/>
  <c r="Q21" i="5"/>
  <c r="O34" i="5" s="1"/>
  <c r="Q34" i="5" s="1"/>
  <c r="V2" i="2"/>
  <c r="F3" i="2"/>
  <c r="Q21" i="6" l="1"/>
  <c r="Q22" i="5"/>
  <c r="Q35" i="5" s="1"/>
  <c r="Q23" i="5" s="1"/>
  <c r="F4" i="2"/>
  <c r="V4" i="2"/>
  <c r="V5" i="2" s="1"/>
  <c r="O21" i="2" s="1"/>
  <c r="P22" i="2" s="1"/>
  <c r="P23" i="2" s="1"/>
  <c r="F5" i="2" s="1"/>
  <c r="Q22" i="6" l="1"/>
  <c r="Q35" i="6" s="1"/>
  <c r="O34" i="6"/>
  <c r="Q34" i="6" s="1"/>
  <c r="P21" i="2"/>
  <c r="Q21" i="2" s="1"/>
  <c r="F6" i="5"/>
  <c r="F8" i="5" s="1"/>
  <c r="Q23" i="6" l="1"/>
  <c r="F6" i="6" s="1"/>
  <c r="F8" i="6" s="1"/>
  <c r="F9" i="6" s="1"/>
  <c r="Q22" i="2"/>
  <c r="Q35" i="2" s="1"/>
  <c r="O34" i="2"/>
  <c r="Q34" i="2" s="1"/>
  <c r="Q23" i="2" l="1"/>
  <c r="I10" i="2"/>
  <c r="F6" i="2" l="1"/>
  <c r="F8" i="2" s="1"/>
  <c r="F8" i="10"/>
  <c r="F9" i="10" s="1"/>
  <c r="Q23" i="10" l="1"/>
</calcChain>
</file>

<file path=xl/sharedStrings.xml><?xml version="1.0" encoding="utf-8"?>
<sst xmlns="http://schemas.openxmlformats.org/spreadsheetml/2006/main" count="270" uniqueCount="53">
  <si>
    <t>BASE</t>
  </si>
  <si>
    <t>INSS</t>
  </si>
  <si>
    <t>IRRF</t>
  </si>
  <si>
    <t>dependente</t>
  </si>
  <si>
    <t>TABELA PROG INSS</t>
  </si>
  <si>
    <t>DESCONTO</t>
  </si>
  <si>
    <t>DESC INSS</t>
  </si>
  <si>
    <t>FGTS</t>
  </si>
  <si>
    <t>SALARIO FAMILIA</t>
  </si>
  <si>
    <t>QTDE</t>
  </si>
  <si>
    <t>DEPENDENTE</t>
  </si>
  <si>
    <t>HORAS 50%</t>
  </si>
  <si>
    <t>TABELA IRRF</t>
  </si>
  <si>
    <t>HORAS 100%</t>
  </si>
  <si>
    <t>DSR</t>
  </si>
  <si>
    <t>SALARIO BASE</t>
  </si>
  <si>
    <t>HORAS E DSR</t>
  </si>
  <si>
    <t>ADC NOT 20%</t>
  </si>
  <si>
    <t>valor da hora</t>
  </si>
  <si>
    <t>DSR MÊS</t>
  </si>
  <si>
    <t>MINUTOS</t>
  </si>
  <si>
    <t xml:space="preserve">HORAS </t>
  </si>
  <si>
    <t>DIAS MÊS</t>
  </si>
  <si>
    <t>SALARIO LIQUIDO</t>
  </si>
  <si>
    <t>calculo multa fgts</t>
  </si>
  <si>
    <t>bases</t>
  </si>
  <si>
    <t>saldo fgts</t>
  </si>
  <si>
    <t>fgts do mês</t>
  </si>
  <si>
    <t xml:space="preserve">multa </t>
  </si>
  <si>
    <t>VALOR GRRF</t>
  </si>
  <si>
    <t>fgts 8%</t>
  </si>
  <si>
    <t>FALTA</t>
  </si>
  <si>
    <t>SALARIO</t>
  </si>
  <si>
    <t>comissão</t>
  </si>
  <si>
    <t>dsr</t>
  </si>
  <si>
    <t>bruto</t>
  </si>
  <si>
    <t>com. E dsr</t>
  </si>
  <si>
    <t xml:space="preserve">* SALARIO RURAL </t>
  </si>
  <si>
    <t>* SALARIO PISO domest</t>
  </si>
  <si>
    <t xml:space="preserve">MOTORISTAS </t>
  </si>
  <si>
    <t>contagem de dias  férias</t>
  </si>
  <si>
    <t>fgts open</t>
  </si>
  <si>
    <t>base rescisão</t>
  </si>
  <si>
    <t>* limite do calculo novo</t>
  </si>
  <si>
    <t>BASE DE CALCULO</t>
  </si>
  <si>
    <t xml:space="preserve">IRRF </t>
  </si>
  <si>
    <t xml:space="preserve"> TABELA PROG INSS </t>
  </si>
  <si>
    <t xml:space="preserve"> DESCONTO </t>
  </si>
  <si>
    <t xml:space="preserve"> -   </t>
  </si>
  <si>
    <t xml:space="preserve"> SALARIO FAMILIA </t>
  </si>
  <si>
    <t xml:space="preserve"> QTDE </t>
  </si>
  <si>
    <t xml:space="preserve">APRENDIZ </t>
  </si>
  <si>
    <t>faltas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</si>
</sst>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0_-;\-* #,##0.000_-;_-* &quot;-&quot;??_-;_-@_-"/>
    <numFmt numFmtId="165" formatCode="_-* #,##0_-;\-* #,##0_-;_-* &quot;-&quot;??_-;_-@_-"/>
    <numFmt numFmtId="166" formatCode="_-* #,##0.00_-;\-* #,##0.00_-;_-* &quot;-&quot;???_-;_-@_-"/>
    <numFmt numFmtId="167" formatCode="_-* #,##0.0000000_-;\-* #,##0.00000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 val="singleAccounting"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2" fillId="2" borderId="7" xfId="0" applyFont="1" applyFill="1" applyBorder="1"/>
    <xf numFmtId="43" fontId="2" fillId="2" borderId="7" xfId="1" applyFont="1" applyFill="1" applyBorder="1" applyAlignment="1"/>
    <xf numFmtId="0" fontId="4" fillId="0" borderId="0" xfId="0" applyFont="1"/>
    <xf numFmtId="0" fontId="3" fillId="0" borderId="0" xfId="0" applyFont="1"/>
    <xf numFmtId="0" fontId="5" fillId="2" borderId="0" xfId="0" applyFont="1" applyFill="1"/>
    <xf numFmtId="43" fontId="5" fillId="2" borderId="0" xfId="1" applyFont="1" applyFill="1"/>
    <xf numFmtId="43" fontId="5" fillId="2" borderId="1" xfId="1" applyFont="1" applyFill="1" applyBorder="1"/>
    <xf numFmtId="43" fontId="5" fillId="2" borderId="2" xfId="1" applyFont="1" applyFill="1" applyBorder="1"/>
    <xf numFmtId="10" fontId="5" fillId="2" borderId="2" xfId="1" applyNumberFormat="1" applyFont="1" applyFill="1" applyBorder="1"/>
    <xf numFmtId="43" fontId="5" fillId="2" borderId="3" xfId="1" applyFont="1" applyFill="1" applyBorder="1"/>
    <xf numFmtId="43" fontId="4" fillId="2" borderId="0" xfId="1" applyFont="1" applyFill="1" applyBorder="1"/>
    <xf numFmtId="10" fontId="4" fillId="2" borderId="0" xfId="1" applyNumberFormat="1" applyFont="1" applyFill="1" applyBorder="1"/>
    <xf numFmtId="43" fontId="5" fillId="2" borderId="4" xfId="1" applyFont="1" applyFill="1" applyBorder="1"/>
    <xf numFmtId="0" fontId="5" fillId="2" borderId="7" xfId="1" applyNumberFormat="1" applyFont="1" applyFill="1" applyBorder="1"/>
    <xf numFmtId="43" fontId="5" fillId="2" borderId="7" xfId="1" applyFont="1" applyFill="1" applyBorder="1"/>
    <xf numFmtId="10" fontId="5" fillId="2" borderId="7" xfId="1" applyNumberFormat="1" applyFont="1" applyFill="1" applyBorder="1"/>
    <xf numFmtId="43" fontId="5" fillId="2" borderId="5" xfId="1" applyFont="1" applyFill="1" applyBorder="1"/>
    <xf numFmtId="43" fontId="6" fillId="2" borderId="7" xfId="1" applyFont="1" applyFill="1" applyBorder="1" applyAlignment="1"/>
    <xf numFmtId="0" fontId="4" fillId="2" borderId="0" xfId="1" applyNumberFormat="1" applyFont="1" applyFill="1" applyBorder="1"/>
    <xf numFmtId="0" fontId="5" fillId="2" borderId="7" xfId="0" applyFont="1" applyFill="1" applyBorder="1"/>
    <xf numFmtId="0" fontId="7" fillId="3" borderId="7" xfId="0" applyFont="1" applyFill="1" applyBorder="1"/>
    <xf numFmtId="43" fontId="5" fillId="2" borderId="8" xfId="1" applyFont="1" applyFill="1" applyBorder="1" applyAlignment="1"/>
    <xf numFmtId="43" fontId="8" fillId="3" borderId="0" xfId="1" applyFont="1" applyFill="1"/>
    <xf numFmtId="43" fontId="7" fillId="2" borderId="15" xfId="1" applyFont="1" applyFill="1" applyBorder="1" applyAlignment="1"/>
    <xf numFmtId="43" fontId="5" fillId="2" borderId="0" xfId="0" applyNumberFormat="1" applyFont="1" applyFill="1"/>
    <xf numFmtId="10" fontId="6" fillId="2" borderId="7" xfId="0" applyNumberFormat="1" applyFont="1" applyFill="1" applyBorder="1"/>
    <xf numFmtId="0" fontId="6" fillId="2" borderId="7" xfId="0" applyFont="1" applyFill="1" applyBorder="1"/>
    <xf numFmtId="43" fontId="8" fillId="2" borderId="7" xfId="1" applyFont="1" applyFill="1" applyBorder="1" applyAlignment="1"/>
    <xf numFmtId="43" fontId="7" fillId="3" borderId="6" xfId="1" applyFont="1" applyFill="1" applyBorder="1" applyAlignment="1"/>
    <xf numFmtId="43" fontId="7" fillId="2" borderId="7" xfId="0" applyNumberFormat="1" applyFont="1" applyFill="1" applyBorder="1"/>
    <xf numFmtId="0" fontId="5" fillId="2" borderId="0" xfId="1" applyNumberFormat="1" applyFont="1" applyFill="1" applyBorder="1"/>
    <xf numFmtId="43" fontId="5" fillId="2" borderId="0" xfId="1" applyFont="1" applyFill="1" applyBorder="1"/>
    <xf numFmtId="10" fontId="5" fillId="2" borderId="0" xfId="1" applyNumberFormat="1" applyFont="1" applyFill="1" applyBorder="1"/>
    <xf numFmtId="43" fontId="9" fillId="2" borderId="0" xfId="0" applyNumberFormat="1" applyFont="1" applyFill="1" applyAlignment="1">
      <alignment horizontal="center"/>
    </xf>
    <xf numFmtId="43" fontId="7" fillId="2" borderId="14" xfId="0" applyNumberFormat="1" applyFont="1" applyFill="1" applyBorder="1"/>
    <xf numFmtId="43" fontId="4" fillId="0" borderId="0" xfId="1" applyFont="1" applyFill="1" applyBorder="1"/>
    <xf numFmtId="43" fontId="5" fillId="2" borderId="0" xfId="1" applyFont="1" applyFill="1" applyBorder="1" applyAlignment="1"/>
    <xf numFmtId="0" fontId="7" fillId="2" borderId="7" xfId="0" applyFont="1" applyFill="1" applyBorder="1"/>
    <xf numFmtId="43" fontId="9" fillId="2" borderId="7" xfId="0" applyNumberFormat="1" applyFont="1" applyFill="1" applyBorder="1"/>
    <xf numFmtId="0" fontId="5" fillId="3" borderId="7" xfId="1" applyNumberFormat="1" applyFont="1" applyFill="1" applyBorder="1"/>
    <xf numFmtId="10" fontId="5" fillId="2" borderId="13" xfId="1" applyNumberFormat="1" applyFont="1" applyFill="1" applyBorder="1" applyAlignment="1">
      <alignment horizontal="center"/>
    </xf>
    <xf numFmtId="43" fontId="5" fillId="3" borderId="0" xfId="1" applyFont="1" applyFill="1"/>
    <xf numFmtId="10" fontId="5" fillId="2" borderId="7" xfId="2" applyNumberFormat="1" applyFont="1" applyFill="1" applyBorder="1"/>
    <xf numFmtId="9" fontId="5" fillId="2" borderId="0" xfId="0" applyNumberFormat="1" applyFont="1" applyFill="1"/>
    <xf numFmtId="0" fontId="5" fillId="3" borderId="0" xfId="0" applyFont="1" applyFill="1"/>
    <xf numFmtId="43" fontId="5" fillId="2" borderId="10" xfId="1" applyFont="1" applyFill="1" applyBorder="1"/>
    <xf numFmtId="43" fontId="5" fillId="2" borderId="11" xfId="1" applyFont="1" applyFill="1" applyBorder="1"/>
    <xf numFmtId="10" fontId="5" fillId="2" borderId="11" xfId="1" applyNumberFormat="1" applyFont="1" applyFill="1" applyBorder="1"/>
    <xf numFmtId="43" fontId="5" fillId="2" borderId="12" xfId="1" applyFont="1" applyFill="1" applyBorder="1"/>
    <xf numFmtId="43" fontId="9" fillId="2" borderId="5" xfId="1" applyFont="1" applyFill="1" applyBorder="1"/>
    <xf numFmtId="43" fontId="10" fillId="2" borderId="0" xfId="1" applyFont="1" applyFill="1" applyBorder="1"/>
    <xf numFmtId="43" fontId="10" fillId="2" borderId="10" xfId="1" applyFont="1" applyFill="1" applyBorder="1"/>
    <xf numFmtId="43" fontId="10" fillId="2" borderId="11" xfId="1" applyFont="1" applyFill="1" applyBorder="1"/>
    <xf numFmtId="43" fontId="10" fillId="2" borderId="12" xfId="1" applyFont="1" applyFill="1" applyBorder="1"/>
    <xf numFmtId="43" fontId="5" fillId="2" borderId="9" xfId="1" applyFont="1" applyFill="1" applyBorder="1"/>
    <xf numFmtId="43" fontId="10" fillId="2" borderId="9" xfId="1" applyFont="1" applyFill="1" applyBorder="1"/>
    <xf numFmtId="0" fontId="3" fillId="2" borderId="0" xfId="0" applyFont="1" applyFill="1"/>
    <xf numFmtId="43" fontId="3" fillId="0" borderId="0" xfId="1" applyFont="1" applyFill="1" applyBorder="1" applyAlignment="1"/>
    <xf numFmtId="43" fontId="5" fillId="2" borderId="7" xfId="1" applyFont="1" applyFill="1" applyBorder="1" applyAlignment="1"/>
    <xf numFmtId="43" fontId="5" fillId="2" borderId="7" xfId="0" applyNumberFormat="1" applyFont="1" applyFill="1" applyBorder="1"/>
    <xf numFmtId="0" fontId="4" fillId="2" borderId="0" xfId="0" applyFont="1" applyFill="1"/>
    <xf numFmtId="43" fontId="4" fillId="2" borderId="0" xfId="1" applyFont="1" applyFill="1"/>
    <xf numFmtId="9" fontId="4" fillId="2" borderId="0" xfId="0" applyNumberFormat="1" applyFont="1" applyFill="1"/>
    <xf numFmtId="2" fontId="5" fillId="2" borderId="0" xfId="1" applyNumberFormat="1" applyFont="1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43" fontId="0" fillId="2" borderId="0" xfId="1" applyFont="1" applyFill="1" applyBorder="1"/>
    <xf numFmtId="0" fontId="0" fillId="2" borderId="0" xfId="0" applyFill="1"/>
    <xf numFmtId="0" fontId="0" fillId="2" borderId="5" xfId="0" applyFill="1" applyBorder="1"/>
    <xf numFmtId="43" fontId="0" fillId="2" borderId="4" xfId="0" applyNumberFormat="1" applyFill="1" applyBorder="1"/>
    <xf numFmtId="43" fontId="0" fillId="3" borderId="0" xfId="0" applyNumberFormat="1" applyFill="1"/>
    <xf numFmtId="43" fontId="0" fillId="3" borderId="0" xfId="1" applyFont="1" applyFill="1" applyBorder="1"/>
    <xf numFmtId="43" fontId="11" fillId="2" borderId="0" xfId="1" applyFont="1" applyFill="1" applyBorder="1"/>
    <xf numFmtId="43" fontId="0" fillId="2" borderId="17" xfId="1" applyFont="1" applyFill="1" applyBorder="1"/>
    <xf numFmtId="9" fontId="0" fillId="3" borderId="0" xfId="1" applyNumberFormat="1" applyFont="1" applyFill="1" applyBorder="1"/>
    <xf numFmtId="43" fontId="0" fillId="2" borderId="18" xfId="1" applyFont="1" applyFill="1" applyBorder="1"/>
    <xf numFmtId="43" fontId="12" fillId="2" borderId="0" xfId="1" applyFont="1" applyFill="1" applyBorder="1"/>
    <xf numFmtId="43" fontId="13" fillId="2" borderId="0" xfId="1" applyFont="1" applyFill="1" applyBorder="1"/>
    <xf numFmtId="0" fontId="11" fillId="2" borderId="0" xfId="0" applyFont="1" applyFill="1"/>
    <xf numFmtId="0" fontId="0" fillId="2" borderId="10" xfId="0" applyFill="1" applyBorder="1"/>
    <xf numFmtId="43" fontId="0" fillId="2" borderId="11" xfId="1" applyFont="1" applyFill="1" applyBorder="1"/>
    <xf numFmtId="0" fontId="0" fillId="2" borderId="11" xfId="0" applyFill="1" applyBorder="1"/>
    <xf numFmtId="0" fontId="0" fillId="2" borderId="12" xfId="0" applyFill="1" applyBorder="1"/>
    <xf numFmtId="0" fontId="14" fillId="0" borderId="0" xfId="0" applyFont="1" applyAlignment="1">
      <alignment vertical="top" wrapText="1"/>
    </xf>
    <xf numFmtId="14" fontId="0" fillId="0" borderId="0" xfId="0" applyNumberFormat="1"/>
    <xf numFmtId="20" fontId="0" fillId="0" borderId="0" xfId="0" applyNumberFormat="1"/>
    <xf numFmtId="43" fontId="0" fillId="3" borderId="0" xfId="1" applyFont="1" applyFill="1"/>
    <xf numFmtId="43" fontId="0" fillId="0" borderId="0" xfId="1" applyFont="1"/>
    <xf numFmtId="164" fontId="0" fillId="0" borderId="0" xfId="1" applyNumberFormat="1" applyFont="1"/>
    <xf numFmtId="165" fontId="0" fillId="3" borderId="0" xfId="1" applyNumberFormat="1" applyFont="1" applyFill="1"/>
    <xf numFmtId="165" fontId="0" fillId="0" borderId="0" xfId="1" applyNumberFormat="1" applyFont="1"/>
    <xf numFmtId="43" fontId="0" fillId="0" borderId="0" xfId="0" applyNumberFormat="1"/>
    <xf numFmtId="43" fontId="12" fillId="4" borderId="0" xfId="1" applyFont="1" applyFill="1"/>
    <xf numFmtId="46" fontId="0" fillId="0" borderId="0" xfId="0" applyNumberFormat="1"/>
    <xf numFmtId="0" fontId="15" fillId="0" borderId="7" xfId="0" applyFont="1" applyBorder="1"/>
    <xf numFmtId="43" fontId="15" fillId="3" borderId="7" xfId="1" applyFont="1" applyFill="1" applyBorder="1"/>
    <xf numFmtId="0" fontId="15" fillId="3" borderId="7" xfId="0" applyFont="1" applyFill="1" applyBorder="1"/>
    <xf numFmtId="43" fontId="15" fillId="0" borderId="7" xfId="1" applyFont="1" applyBorder="1"/>
    <xf numFmtId="43" fontId="15" fillId="0" borderId="7" xfId="0" applyNumberFormat="1" applyFont="1" applyBorder="1"/>
    <xf numFmtId="43" fontId="15" fillId="5" borderId="7" xfId="0" applyNumberFormat="1" applyFont="1" applyFill="1" applyBorder="1"/>
    <xf numFmtId="43" fontId="0" fillId="0" borderId="19" xfId="1" applyFont="1" applyBorder="1" applyAlignment="1"/>
    <xf numFmtId="4" fontId="0" fillId="0" borderId="0" xfId="0" applyNumberFormat="1"/>
    <xf numFmtId="43" fontId="9" fillId="2" borderId="0" xfId="1" applyFont="1" applyFill="1" applyBorder="1"/>
    <xf numFmtId="10" fontId="9" fillId="2" borderId="0" xfId="1" applyNumberFormat="1" applyFont="1" applyFill="1" applyBorder="1"/>
    <xf numFmtId="0" fontId="9" fillId="2" borderId="0" xfId="0" applyFont="1" applyFill="1"/>
    <xf numFmtId="0" fontId="9" fillId="0" borderId="0" xfId="0" applyFont="1"/>
    <xf numFmtId="0" fontId="16" fillId="3" borderId="7" xfId="1" applyNumberFormat="1" applyFont="1" applyFill="1" applyBorder="1"/>
    <xf numFmtId="0" fontId="16" fillId="2" borderId="7" xfId="0" applyFont="1" applyFill="1" applyBorder="1"/>
    <xf numFmtId="10" fontId="16" fillId="2" borderId="13" xfId="1" applyNumberFormat="1" applyFont="1" applyFill="1" applyBorder="1" applyAlignment="1">
      <alignment horizontal="center"/>
    </xf>
    <xf numFmtId="2" fontId="16" fillId="2" borderId="0" xfId="1" applyNumberFormat="1" applyFont="1" applyFill="1" applyBorder="1" applyAlignment="1">
      <alignment horizontal="center"/>
    </xf>
    <xf numFmtId="0" fontId="16" fillId="2" borderId="0" xfId="0" applyFont="1" applyFill="1"/>
    <xf numFmtId="43" fontId="16" fillId="2" borderId="0" xfId="1" applyFont="1" applyFill="1" applyBorder="1"/>
    <xf numFmtId="10" fontId="16" fillId="2" borderId="0" xfId="1" applyNumberFormat="1" applyFont="1" applyFill="1" applyBorder="1"/>
    <xf numFmtId="10" fontId="0" fillId="2" borderId="0" xfId="1" applyNumberFormat="1" applyFont="1" applyFill="1" applyBorder="1"/>
    <xf numFmtId="0" fontId="0" fillId="2" borderId="7" xfId="1" applyNumberFormat="1" applyFont="1" applyFill="1" applyBorder="1"/>
    <xf numFmtId="43" fontId="0" fillId="2" borderId="7" xfId="1" applyFont="1" applyFill="1" applyBorder="1"/>
    <xf numFmtId="10" fontId="0" fillId="2" borderId="7" xfId="1" applyNumberFormat="1" applyFont="1" applyFill="1" applyBorder="1"/>
    <xf numFmtId="10" fontId="0" fillId="2" borderId="7" xfId="2" applyNumberFormat="1" applyFont="1" applyFill="1" applyBorder="1"/>
    <xf numFmtId="0" fontId="9" fillId="3" borderId="0" xfId="0" applyFont="1" applyFill="1"/>
    <xf numFmtId="14" fontId="0" fillId="3" borderId="0" xfId="0" applyNumberFormat="1" applyFill="1"/>
    <xf numFmtId="167" fontId="18" fillId="2" borderId="5" xfId="1" applyNumberFormat="1" applyFont="1" applyFill="1" applyBorder="1"/>
    <xf numFmtId="43" fontId="18" fillId="2" borderId="5" xfId="1" applyFont="1" applyFill="1" applyBorder="1"/>
    <xf numFmtId="43" fontId="0" fillId="2" borderId="5" xfId="1" applyFont="1" applyFill="1" applyBorder="1"/>
    <xf numFmtId="43" fontId="7" fillId="2" borderId="0" xfId="1" applyFont="1" applyFill="1" applyBorder="1" applyAlignment="1"/>
    <xf numFmtId="43" fontId="8" fillId="2" borderId="0" xfId="1" applyFont="1" applyFill="1" applyBorder="1" applyAlignment="1"/>
    <xf numFmtId="43" fontId="7" fillId="2" borderId="0" xfId="0" applyNumberFormat="1" applyFont="1" applyFill="1"/>
    <xf numFmtId="0" fontId="19" fillId="2" borderId="0" xfId="0" applyFont="1" applyFill="1"/>
    <xf numFmtId="0" fontId="20" fillId="3" borderId="0" xfId="0" applyFont="1" applyFill="1"/>
    <xf numFmtId="43" fontId="19" fillId="2" borderId="0" xfId="1" applyFont="1" applyFill="1" applyBorder="1" applyAlignment="1"/>
    <xf numFmtId="43" fontId="20" fillId="2" borderId="0" xfId="1" applyFont="1" applyFill="1" applyBorder="1" applyAlignment="1"/>
    <xf numFmtId="43" fontId="20" fillId="2" borderId="0" xfId="0" applyNumberFormat="1" applyFont="1" applyFill="1"/>
    <xf numFmtId="43" fontId="19" fillId="2" borderId="0" xfId="0" applyNumberFormat="1" applyFont="1" applyFill="1"/>
    <xf numFmtId="43" fontId="5" fillId="3" borderId="0" xfId="1" applyFont="1" applyFill="1" applyBorder="1"/>
    <xf numFmtId="10" fontId="0" fillId="0" borderId="0" xfId="0" applyNumberFormat="1"/>
    <xf numFmtId="43" fontId="9" fillId="2" borderId="0" xfId="0" applyNumberFormat="1" applyFont="1" applyFill="1"/>
    <xf numFmtId="10" fontId="5" fillId="2" borderId="0" xfId="0" applyNumberFormat="1" applyFont="1" applyFill="1"/>
    <xf numFmtId="43" fontId="9" fillId="2" borderId="0" xfId="1" applyFont="1" applyFill="1"/>
    <xf numFmtId="43" fontId="5" fillId="2" borderId="0" xfId="1" applyFont="1" applyFill="1" applyAlignment="1">
      <alignment horizontal="center"/>
    </xf>
    <xf numFmtId="43" fontId="0" fillId="2" borderId="16" xfId="1" applyFont="1" applyFill="1" applyBorder="1" applyAlignment="1">
      <alignment horizontal="center"/>
    </xf>
    <xf numFmtId="166" fontId="0" fillId="0" borderId="0" xfId="0" applyNumberFormat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3">
    <dxf>
      <font>
        <b/>
        <i val="0"/>
        <color rgb="FFFF0000"/>
      </font>
      <fill>
        <patternFill>
          <bgColor theme="5" tint="0.39994506668294322"/>
        </patternFill>
      </fill>
    </dxf>
    <dxf>
      <font>
        <color rgb="FF00B050"/>
      </font>
    </dxf>
    <dxf>
      <font>
        <b/>
        <i val="0"/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59EC-ABF0-4B63-B2A8-BE9888FEFC7C}">
  <dimension ref="A1:AE35"/>
  <sheetViews>
    <sheetView topLeftCell="B1" workbookViewId="0">
      <selection activeCell="I3" sqref="I3"/>
    </sheetView>
  </sheetViews>
  <sheetFormatPr defaultRowHeight="15.75" x14ac:dyDescent="0.25"/>
  <cols>
    <col min="1" max="1" width="13.28515625" style="5" hidden="1" customWidth="1"/>
    <col min="2" max="2" width="11.140625" style="5" customWidth="1"/>
    <col min="3" max="3" width="4.7109375" style="5" customWidth="1"/>
    <col min="4" max="5" width="3.28515625" style="5" bestFit="1" customWidth="1"/>
    <col min="6" max="6" width="10.42578125" style="5" bestFit="1" customWidth="1"/>
    <col min="7" max="7" width="14.28515625" style="5" bestFit="1" customWidth="1"/>
    <col min="8" max="8" width="17.5703125" style="5" bestFit="1" customWidth="1"/>
    <col min="9" max="9" width="11.5703125" style="5" bestFit="1" customWidth="1"/>
    <col min="10" max="10" width="9.42578125" style="5" bestFit="1" customWidth="1"/>
    <col min="11" max="11" width="4.5703125" style="5" customWidth="1"/>
    <col min="12" max="12" width="7.28515625" style="5" bestFit="1" customWidth="1"/>
    <col min="13" max="13" width="2.28515625" style="5" customWidth="1"/>
    <col min="14" max="14" width="6.28515625" style="5" customWidth="1"/>
    <col min="15" max="15" width="18.85546875" style="5" bestFit="1" customWidth="1"/>
    <col min="16" max="16" width="13.7109375" style="5" bestFit="1" customWidth="1"/>
    <col min="17" max="17" width="13.140625" style="5" bestFit="1" customWidth="1"/>
    <col min="18" max="18" width="8.7109375" style="5" bestFit="1" customWidth="1"/>
    <col min="19" max="19" width="9.28515625" style="5" hidden="1" customWidth="1"/>
    <col min="20" max="22" width="0" style="5" hidden="1" customWidth="1"/>
    <col min="23" max="24" width="9.140625" style="5"/>
    <col min="25" max="25" width="10" style="5" bestFit="1" customWidth="1"/>
    <col min="26" max="26" width="9.28515625" style="5" bestFit="1" customWidth="1"/>
    <col min="27" max="27" width="12.7109375" style="107" bestFit="1" customWidth="1"/>
    <col min="28" max="29" width="9.28515625" style="107" bestFit="1" customWidth="1"/>
    <col min="30" max="31" width="9.140625" style="107"/>
    <col min="32" max="16384" width="9.140625" style="5"/>
  </cols>
  <sheetData>
    <row r="1" spans="1:29" x14ac:dyDescent="0.25">
      <c r="H1" s="6"/>
      <c r="I1" s="6"/>
      <c r="J1" s="6"/>
      <c r="M1" s="7"/>
      <c r="N1" s="8" t="s">
        <v>4</v>
      </c>
      <c r="O1" s="8"/>
      <c r="P1" s="9"/>
      <c r="Q1" s="8" t="s">
        <v>5</v>
      </c>
      <c r="R1" s="10"/>
      <c r="S1" s="5">
        <f>I18/60</f>
        <v>0</v>
      </c>
      <c r="T1" s="3"/>
      <c r="U1" s="4"/>
      <c r="V1" s="4"/>
      <c r="Y1" s="11"/>
      <c r="Z1" s="11" t="s">
        <v>12</v>
      </c>
      <c r="AA1" s="105"/>
      <c r="AB1" s="106"/>
      <c r="AC1" s="105"/>
    </row>
    <row r="2" spans="1:29" ht="16.5" thickBot="1" x14ac:dyDescent="0.3">
      <c r="H2" s="6"/>
      <c r="J2" s="6"/>
      <c r="M2" s="13"/>
      <c r="N2" s="14">
        <v>1</v>
      </c>
      <c r="O2" s="15">
        <v>1412</v>
      </c>
      <c r="P2" s="16">
        <v>7.4999999999999997E-2</v>
      </c>
      <c r="Q2" s="15">
        <f>O2*P2</f>
        <v>105.89999999999999</v>
      </c>
      <c r="R2" s="17">
        <v>0</v>
      </c>
      <c r="S2" s="5">
        <f>I19/60</f>
        <v>0</v>
      </c>
      <c r="T2" s="1">
        <v>0</v>
      </c>
      <c r="U2" s="1">
        <v>31</v>
      </c>
      <c r="V2" s="18">
        <f>(I5/U2)*T2</f>
        <v>0</v>
      </c>
      <c r="Y2" s="11"/>
      <c r="Z2" s="19">
        <f t="shared" ref="Z2:AC6" si="0">N13</f>
        <v>1</v>
      </c>
      <c r="AA2" s="105">
        <f t="shared" si="0"/>
        <v>2259.1999999999998</v>
      </c>
      <c r="AB2" s="106">
        <f t="shared" si="0"/>
        <v>0</v>
      </c>
      <c r="AC2" s="105">
        <f t="shared" si="0"/>
        <v>0</v>
      </c>
    </row>
    <row r="3" spans="1:29" x14ac:dyDescent="0.25">
      <c r="B3" s="20" t="s">
        <v>22</v>
      </c>
      <c r="C3" s="20"/>
      <c r="D3" s="21">
        <v>30</v>
      </c>
      <c r="E3" s="21">
        <v>30</v>
      </c>
      <c r="F3" s="22">
        <f>(I5/E3)*D3</f>
        <v>2017.3499999999997</v>
      </c>
      <c r="H3" s="6" t="s">
        <v>15</v>
      </c>
      <c r="I3" s="23">
        <v>2017.35</v>
      </c>
      <c r="J3" s="6"/>
      <c r="M3" s="13"/>
      <c r="N3" s="14">
        <v>2</v>
      </c>
      <c r="O3" s="15">
        <v>2666.68</v>
      </c>
      <c r="P3" s="16">
        <v>0.09</v>
      </c>
      <c r="Q3" s="15">
        <f>(O3-O2)*P3</f>
        <v>112.92119999999998</v>
      </c>
      <c r="R3" s="17">
        <v>21.18</v>
      </c>
      <c r="S3" s="5">
        <f>I20/60</f>
        <v>0</v>
      </c>
      <c r="T3" s="1">
        <f>T2</f>
        <v>0</v>
      </c>
      <c r="U3" s="1">
        <f>U2</f>
        <v>31</v>
      </c>
      <c r="V3" s="18">
        <f>(A3/U3)*T3</f>
        <v>0</v>
      </c>
      <c r="Y3" s="11"/>
      <c r="Z3" s="19">
        <f t="shared" si="0"/>
        <v>2</v>
      </c>
      <c r="AA3" s="105">
        <f t="shared" si="0"/>
        <v>2826.65</v>
      </c>
      <c r="AB3" s="106">
        <f t="shared" si="0"/>
        <v>7.4999999999999997E-2</v>
      </c>
      <c r="AC3" s="105">
        <f t="shared" si="0"/>
        <v>169.44</v>
      </c>
    </row>
    <row r="4" spans="1:29" ht="16.5" thickBot="1" x14ac:dyDescent="0.3">
      <c r="F4" s="24">
        <f>F3</f>
        <v>2017.3499999999997</v>
      </c>
      <c r="H4" s="6" t="s">
        <v>16</v>
      </c>
      <c r="I4" s="25">
        <f>P29+P30+P31+P32</f>
        <v>0</v>
      </c>
      <c r="J4" s="6"/>
      <c r="M4" s="13"/>
      <c r="N4" s="14">
        <v>3</v>
      </c>
      <c r="O4" s="15">
        <v>4000.03</v>
      </c>
      <c r="P4" s="16">
        <v>0.12</v>
      </c>
      <c r="Q4" s="15">
        <f>(O4-O3)*P4</f>
        <v>160.00200000000004</v>
      </c>
      <c r="R4" s="17">
        <v>101.18</v>
      </c>
      <c r="T4" s="26">
        <v>0.33333299999999999</v>
      </c>
      <c r="U4" s="27"/>
      <c r="V4" s="18">
        <f>(V2+V3)*T4</f>
        <v>0</v>
      </c>
      <c r="Y4" s="11"/>
      <c r="Z4" s="19">
        <f t="shared" si="0"/>
        <v>3</v>
      </c>
      <c r="AA4" s="105">
        <f t="shared" si="0"/>
        <v>3751.05</v>
      </c>
      <c r="AB4" s="106">
        <f t="shared" si="0"/>
        <v>0.15</v>
      </c>
      <c r="AC4" s="105">
        <f t="shared" si="0"/>
        <v>381.44</v>
      </c>
    </row>
    <row r="5" spans="1:29" ht="16.5" thickBot="1" x14ac:dyDescent="0.3">
      <c r="B5" s="20" t="s">
        <v>6</v>
      </c>
      <c r="C5" s="20"/>
      <c r="D5" s="20"/>
      <c r="E5" s="20"/>
      <c r="F5" s="28">
        <f>P23</f>
        <v>160.38149999999996</v>
      </c>
      <c r="H5" s="5" t="s">
        <v>44</v>
      </c>
      <c r="I5" s="29">
        <f>I3+I4</f>
        <v>2017.35</v>
      </c>
      <c r="J5" s="6"/>
      <c r="M5" s="13"/>
      <c r="N5" s="14">
        <v>4</v>
      </c>
      <c r="O5" s="15">
        <v>7768.02</v>
      </c>
      <c r="P5" s="16">
        <v>0.14000000000000001</v>
      </c>
      <c r="Q5" s="15">
        <f>(O5-O4)*P5</f>
        <v>527.51860000000011</v>
      </c>
      <c r="R5" s="17">
        <v>181.18</v>
      </c>
      <c r="S5" s="5">
        <f>H18+S1</f>
        <v>0</v>
      </c>
      <c r="T5" s="27"/>
      <c r="U5" s="27"/>
      <c r="V5" s="2">
        <f>V2+V3+V4</f>
        <v>0</v>
      </c>
      <c r="Y5" s="11"/>
      <c r="Z5" s="19">
        <f t="shared" si="0"/>
        <v>4</v>
      </c>
      <c r="AA5" s="105">
        <f t="shared" si="0"/>
        <v>4664.68</v>
      </c>
      <c r="AB5" s="106">
        <f t="shared" si="0"/>
        <v>0.22500000000000001</v>
      </c>
      <c r="AC5" s="105">
        <f t="shared" si="0"/>
        <v>662.77</v>
      </c>
    </row>
    <row r="6" spans="1:29" x14ac:dyDescent="0.25">
      <c r="B6" s="20" t="s">
        <v>45</v>
      </c>
      <c r="C6" s="20"/>
      <c r="D6" s="20"/>
      <c r="E6" s="20"/>
      <c r="F6" s="30">
        <f>Q23</f>
        <v>0</v>
      </c>
      <c r="H6" s="6"/>
      <c r="J6" s="6"/>
      <c r="M6" s="13"/>
      <c r="N6" s="31"/>
      <c r="O6" s="32"/>
      <c r="P6" s="33"/>
      <c r="Q6" s="32">
        <f>SUM(Q2:Q5)</f>
        <v>906.34180000000015</v>
      </c>
      <c r="R6" s="17"/>
      <c r="S6" s="5">
        <f>H19+S2</f>
        <v>0</v>
      </c>
      <c r="Y6" s="11"/>
      <c r="Z6" s="19">
        <f t="shared" si="0"/>
        <v>5</v>
      </c>
      <c r="AA6" s="105">
        <f t="shared" si="0"/>
        <v>999999</v>
      </c>
      <c r="AB6" s="106">
        <f t="shared" si="0"/>
        <v>0.27500000000000002</v>
      </c>
      <c r="AC6" s="105">
        <f t="shared" si="0"/>
        <v>896</v>
      </c>
    </row>
    <row r="7" spans="1:29" ht="16.5" thickBot="1" x14ac:dyDescent="0.3">
      <c r="A7" s="34"/>
      <c r="H7" s="6"/>
      <c r="J7" s="6"/>
      <c r="M7" s="13"/>
      <c r="O7" s="32" t="s">
        <v>8</v>
      </c>
      <c r="P7" s="32"/>
      <c r="Q7" s="32"/>
      <c r="R7" s="17"/>
      <c r="S7" s="5">
        <f>H20+S3</f>
        <v>0</v>
      </c>
      <c r="Y7" s="32"/>
      <c r="Z7" s="32"/>
      <c r="AA7" s="105"/>
      <c r="AB7" s="106"/>
      <c r="AC7" s="105"/>
    </row>
    <row r="8" spans="1:29" ht="16.5" thickBot="1" x14ac:dyDescent="0.3">
      <c r="B8" s="5" t="s">
        <v>23</v>
      </c>
      <c r="F8" s="35">
        <f>F3-F5-F6</f>
        <v>1856.9684999999997</v>
      </c>
      <c r="H8" s="20" t="s">
        <v>18</v>
      </c>
      <c r="I8" s="15">
        <f>I3/220</f>
        <v>9.1697727272727274</v>
      </c>
      <c r="J8" s="36"/>
      <c r="M8" s="13"/>
      <c r="O8" s="15">
        <v>1754.18</v>
      </c>
      <c r="P8" s="15">
        <v>59.82</v>
      </c>
      <c r="Q8" s="32"/>
      <c r="R8" s="17"/>
    </row>
    <row r="9" spans="1:29" x14ac:dyDescent="0.25">
      <c r="H9" s="6"/>
      <c r="M9" s="13"/>
      <c r="N9" s="32" t="s">
        <v>9</v>
      </c>
      <c r="O9" s="32"/>
      <c r="P9" s="33"/>
      <c r="Q9" s="32"/>
      <c r="R9" s="17"/>
      <c r="Y9" s="32"/>
      <c r="Z9" s="32"/>
      <c r="AA9" s="105"/>
      <c r="AB9" s="106"/>
      <c r="AC9" s="105"/>
    </row>
    <row r="10" spans="1:29" x14ac:dyDescent="0.25">
      <c r="G10" s="37"/>
      <c r="H10" s="38" t="s">
        <v>7</v>
      </c>
      <c r="I10" s="39">
        <f>P21*8%</f>
        <v>161.38799999999998</v>
      </c>
      <c r="M10" s="13"/>
      <c r="N10" s="40"/>
      <c r="O10" s="20">
        <v>189.59</v>
      </c>
      <c r="P10" s="41" t="s">
        <v>10</v>
      </c>
      <c r="Q10" s="64">
        <v>564.79999999999995</v>
      </c>
      <c r="R10" s="17"/>
      <c r="AB10" s="106"/>
      <c r="AC10" s="105"/>
    </row>
    <row r="11" spans="1:29" x14ac:dyDescent="0.25">
      <c r="M11" s="13"/>
      <c r="O11" s="32"/>
      <c r="P11" s="33"/>
      <c r="Q11" s="32"/>
      <c r="R11" s="17"/>
      <c r="AB11" s="106"/>
      <c r="AC11" s="105"/>
    </row>
    <row r="12" spans="1:29" x14ac:dyDescent="0.25">
      <c r="M12" s="13"/>
      <c r="N12" s="32" t="s">
        <v>12</v>
      </c>
      <c r="O12" s="32"/>
      <c r="P12" s="33"/>
      <c r="Q12" s="32"/>
      <c r="R12" s="17"/>
      <c r="Y12" s="32"/>
      <c r="Z12" s="31"/>
      <c r="AA12" s="105"/>
      <c r="AB12" s="106"/>
      <c r="AC12" s="105"/>
    </row>
    <row r="13" spans="1:29" x14ac:dyDescent="0.25">
      <c r="H13" s="5" t="s">
        <v>19</v>
      </c>
      <c r="M13" s="13"/>
      <c r="N13" s="14">
        <v>1</v>
      </c>
      <c r="O13" s="15">
        <v>2259.1999999999998</v>
      </c>
      <c r="P13" s="16">
        <v>0</v>
      </c>
      <c r="Q13" s="15">
        <v>0</v>
      </c>
      <c r="R13" s="17"/>
      <c r="Y13" s="32"/>
      <c r="Z13" s="31"/>
      <c r="AA13" s="105"/>
      <c r="AB13" s="106"/>
      <c r="AC13" s="105"/>
    </row>
    <row r="14" spans="1:29" x14ac:dyDescent="0.25">
      <c r="H14" s="42">
        <v>23</v>
      </c>
      <c r="M14" s="13"/>
      <c r="N14" s="14">
        <v>2</v>
      </c>
      <c r="O14" s="15">
        <v>2826.65</v>
      </c>
      <c r="P14" s="16">
        <v>7.4999999999999997E-2</v>
      </c>
      <c r="Q14" s="15">
        <v>169.44</v>
      </c>
      <c r="R14" s="17"/>
    </row>
    <row r="15" spans="1:29" x14ac:dyDescent="0.25">
      <c r="H15" s="42">
        <v>7</v>
      </c>
      <c r="M15" s="13"/>
      <c r="N15" s="14">
        <v>3</v>
      </c>
      <c r="O15" s="15">
        <v>3751.05</v>
      </c>
      <c r="P15" s="16">
        <v>0.15</v>
      </c>
      <c r="Q15" s="15">
        <v>381.44</v>
      </c>
      <c r="R15" s="17"/>
    </row>
    <row r="16" spans="1:29" x14ac:dyDescent="0.25">
      <c r="M16" s="13"/>
      <c r="N16" s="14">
        <v>4</v>
      </c>
      <c r="O16" s="15">
        <v>4664.68</v>
      </c>
      <c r="P16" s="16">
        <v>0.22500000000000001</v>
      </c>
      <c r="Q16" s="15">
        <v>662.77</v>
      </c>
      <c r="R16" s="17"/>
    </row>
    <row r="17" spans="7:31" x14ac:dyDescent="0.25">
      <c r="H17" s="5" t="s">
        <v>21</v>
      </c>
      <c r="I17" s="5" t="s">
        <v>20</v>
      </c>
      <c r="M17" s="13"/>
      <c r="N17" s="14">
        <v>5</v>
      </c>
      <c r="O17" s="15">
        <v>999999</v>
      </c>
      <c r="P17" s="43">
        <v>0.27500000000000002</v>
      </c>
      <c r="Q17" s="15">
        <v>896</v>
      </c>
      <c r="R17" s="17"/>
    </row>
    <row r="18" spans="7:31" ht="16.5" thickBot="1" x14ac:dyDescent="0.3">
      <c r="G18" s="44">
        <v>0.5</v>
      </c>
      <c r="H18" s="45"/>
      <c r="I18" s="45"/>
      <c r="M18" s="46"/>
      <c r="N18" s="47"/>
      <c r="O18" s="47"/>
      <c r="P18" s="48"/>
      <c r="Q18" s="47"/>
      <c r="R18" s="49"/>
    </row>
    <row r="19" spans="7:31" ht="16.5" thickBot="1" x14ac:dyDescent="0.3">
      <c r="G19" s="44">
        <v>1</v>
      </c>
      <c r="H19" s="45"/>
      <c r="I19" s="45"/>
    </row>
    <row r="20" spans="7:31" x14ac:dyDescent="0.25">
      <c r="G20" s="5" t="s">
        <v>17</v>
      </c>
      <c r="H20" s="45"/>
      <c r="I20" s="45"/>
      <c r="O20" s="7" t="s">
        <v>0</v>
      </c>
      <c r="P20" s="8" t="s">
        <v>1</v>
      </c>
      <c r="Q20" s="10" t="s">
        <v>2</v>
      </c>
    </row>
    <row r="21" spans="7:31" x14ac:dyDescent="0.25">
      <c r="H21" s="6"/>
      <c r="O21" s="13">
        <f>V5+F4+Q27</f>
        <v>2017.3499999999997</v>
      </c>
      <c r="P21" s="32">
        <f>O21</f>
        <v>2017.3499999999997</v>
      </c>
      <c r="Q21" s="50">
        <f>P21</f>
        <v>2017.3499999999997</v>
      </c>
    </row>
    <row r="22" spans="7:31" x14ac:dyDescent="0.25">
      <c r="H22" s="6"/>
      <c r="O22" s="13">
        <v>7087.22</v>
      </c>
      <c r="P22" s="51">
        <f>IF(O21&gt;O5,Q6,IF(O21&gt;O4,(O21-O4)*P5+Q4+Q3+Q2,IF(O21&gt;O3,(O21-O3)*P4+Q3+Q2,IF(O21&gt;O2,(O21-O2)*P3+Q2,O21*P2))))</f>
        <v>160.38149999999996</v>
      </c>
      <c r="Q22" s="17">
        <f>Q21-P22-P24</f>
        <v>1856.9684999999997</v>
      </c>
    </row>
    <row r="23" spans="7:31" ht="16.5" thickBot="1" x14ac:dyDescent="0.3">
      <c r="O23" s="52"/>
      <c r="P23" s="53">
        <f>IF(P22&gt;$Q$6,$Q$6,P22)</f>
        <v>160.38149999999996</v>
      </c>
      <c r="Q23" s="54">
        <f>IF(Q35&gt;Q34,Q34,Q35)</f>
        <v>0</v>
      </c>
    </row>
    <row r="24" spans="7:31" x14ac:dyDescent="0.25">
      <c r="O24" s="55" t="s">
        <v>3</v>
      </c>
      <c r="P24" s="56">
        <f>N10*O10</f>
        <v>0</v>
      </c>
      <c r="Q24" s="55"/>
    </row>
    <row r="26" spans="7:31" x14ac:dyDescent="0.25">
      <c r="R26" s="57"/>
    </row>
    <row r="27" spans="7:31" s="3" customFormat="1" hidden="1" x14ac:dyDescent="0.25">
      <c r="Q27" s="58"/>
      <c r="R27" s="58"/>
      <c r="AA27" s="108"/>
      <c r="AB27" s="108"/>
      <c r="AC27" s="108"/>
      <c r="AD27" s="108"/>
      <c r="AE27" s="108"/>
    </row>
    <row r="28" spans="7:31" hidden="1" x14ac:dyDescent="0.25"/>
    <row r="29" spans="7:31" x14ac:dyDescent="0.25">
      <c r="O29" s="20" t="s">
        <v>11</v>
      </c>
      <c r="P29" s="59">
        <f>Q29*S5</f>
        <v>0</v>
      </c>
      <c r="Q29" s="60">
        <f>(I8*50%)+I8</f>
        <v>13.75465909090909</v>
      </c>
    </row>
    <row r="30" spans="7:31" x14ac:dyDescent="0.25">
      <c r="O30" s="20" t="s">
        <v>13</v>
      </c>
      <c r="P30" s="59">
        <f>Q30*S6</f>
        <v>0</v>
      </c>
      <c r="Q30" s="60">
        <f>(I8*100%)+I8</f>
        <v>18.339545454545455</v>
      </c>
    </row>
    <row r="31" spans="7:31" x14ac:dyDescent="0.25">
      <c r="O31" s="20" t="s">
        <v>14</v>
      </c>
      <c r="P31" s="59">
        <f>((P29+P30)/H14)*H15</f>
        <v>0</v>
      </c>
      <c r="Q31" s="20"/>
    </row>
    <row r="32" spans="7:31" x14ac:dyDescent="0.25">
      <c r="O32" s="20" t="s">
        <v>17</v>
      </c>
      <c r="P32" s="59">
        <f>Q32*S7</f>
        <v>0</v>
      </c>
      <c r="Q32" s="60">
        <f>(I8*20%)</f>
        <v>1.8339545454545456</v>
      </c>
    </row>
    <row r="34" spans="15:17" x14ac:dyDescent="0.25">
      <c r="O34" s="25">
        <f>Q21-564.8</f>
        <v>1452.5499999999997</v>
      </c>
      <c r="P34" s="31"/>
      <c r="Q34" s="15">
        <f>IF(O34&lt;AA2,0,IF(O34&lt;AA3,O34*AB3-AC3,IF(O34&lt;AA4,O34*AB4-AC4,IF(O34&lt;AA5,O34*AB5-AC5,O34*AB6-AC6))))</f>
        <v>0</v>
      </c>
    </row>
    <row r="35" spans="15:17" x14ac:dyDescent="0.25">
      <c r="O35" s="32"/>
      <c r="P35" s="31"/>
      <c r="Q35" s="15">
        <f>IF(Q22&gt;AA6,Q22*AB6-AC6,IF(Q22&gt;AA5,Q22*AB6-AC6,IF(Q22&gt;AA4,Q22*AB5-AC5,IF(Q22&gt;AA3,Q22*AB4-AC4,IF(Q22&gt;AA2,Q22*AB3-AC3,0)))))</f>
        <v>0</v>
      </c>
    </row>
  </sheetData>
  <protectedRanges>
    <protectedRange sqref="H21 D3:E3 I3 H14:H15 H18:I20 N10" name="Intervalo1"/>
  </protectedRanges>
  <dataValidations count="1">
    <dataValidation type="whole" allowBlank="1" showInputMessage="1" showErrorMessage="1" sqref="N10" xr:uid="{056BE803-71FF-4F60-985D-5B786EE5A038}">
      <formula1>1</formula1>
      <formula2>5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4DA74-56D7-486F-BFFF-AA2B2677652C}">
  <dimension ref="A1:AC35"/>
  <sheetViews>
    <sheetView topLeftCell="B1" workbookViewId="0">
      <selection activeCell="I3" sqref="I3"/>
    </sheetView>
  </sheetViews>
  <sheetFormatPr defaultRowHeight="15.75" x14ac:dyDescent="0.25"/>
  <cols>
    <col min="1" max="1" width="13.28515625" style="5" hidden="1" customWidth="1"/>
    <col min="2" max="2" width="11.140625" style="5" customWidth="1"/>
    <col min="3" max="3" width="4.7109375" style="5" customWidth="1"/>
    <col min="4" max="5" width="3.28515625" style="5" bestFit="1" customWidth="1"/>
    <col min="6" max="6" width="15.5703125" style="5" customWidth="1"/>
    <col min="7" max="7" width="14.28515625" style="5" bestFit="1" customWidth="1"/>
    <col min="8" max="8" width="17.5703125" style="5" bestFit="1" customWidth="1"/>
    <col min="9" max="9" width="11.5703125" style="5" bestFit="1" customWidth="1"/>
    <col min="10" max="10" width="9.42578125" style="5" bestFit="1" customWidth="1"/>
    <col min="11" max="11" width="4.5703125" style="5" customWidth="1"/>
    <col min="12" max="12" width="7.28515625" style="5" bestFit="1" customWidth="1"/>
    <col min="13" max="13" width="2.28515625" style="5" customWidth="1"/>
    <col min="14" max="14" width="6.28515625" style="5" customWidth="1"/>
    <col min="15" max="15" width="18.85546875" style="5" bestFit="1" customWidth="1"/>
    <col min="16" max="16" width="13.7109375" style="5" bestFit="1" customWidth="1"/>
    <col min="17" max="17" width="13.140625" style="5" bestFit="1" customWidth="1"/>
    <col min="18" max="18" width="8.7109375" style="5" bestFit="1" customWidth="1"/>
    <col min="19" max="19" width="9.28515625" style="5" hidden="1" customWidth="1"/>
    <col min="20" max="22" width="0" style="5" hidden="1" customWidth="1"/>
    <col min="23" max="24" width="9.140625" style="5"/>
    <col min="25" max="25" width="10" style="5" bestFit="1" customWidth="1"/>
    <col min="26" max="26" width="9.28515625" style="5" bestFit="1" customWidth="1"/>
    <col min="27" max="27" width="12.7109375" style="5" bestFit="1" customWidth="1"/>
    <col min="28" max="29" width="9.28515625" style="5" bestFit="1" customWidth="1"/>
    <col min="30" max="16384" width="9.140625" style="5"/>
  </cols>
  <sheetData>
    <row r="1" spans="1:29" x14ac:dyDescent="0.25">
      <c r="H1" s="6"/>
      <c r="I1" s="6"/>
      <c r="J1" s="6"/>
      <c r="M1" s="7"/>
      <c r="N1" s="8" t="s">
        <v>4</v>
      </c>
      <c r="O1" s="8"/>
      <c r="P1" s="9"/>
      <c r="Q1" s="8" t="s">
        <v>5</v>
      </c>
      <c r="R1" s="10"/>
      <c r="S1" s="5">
        <f>I18/60</f>
        <v>0</v>
      </c>
      <c r="T1" s="3"/>
      <c r="U1" s="4"/>
      <c r="V1" s="4"/>
      <c r="Y1" s="11"/>
      <c r="Z1" s="11" t="s">
        <v>12</v>
      </c>
      <c r="AA1" s="11"/>
      <c r="AB1" s="12"/>
      <c r="AC1" s="11"/>
    </row>
    <row r="2" spans="1:29" ht="16.5" thickBot="1" x14ac:dyDescent="0.3">
      <c r="H2" s="6"/>
      <c r="J2" s="6"/>
      <c r="M2" s="13"/>
      <c r="N2" s="14">
        <v>1</v>
      </c>
      <c r="O2" s="15">
        <v>1518</v>
      </c>
      <c r="P2" s="16">
        <v>0.11</v>
      </c>
      <c r="Q2" s="15">
        <f>O2*P2</f>
        <v>166.98</v>
      </c>
      <c r="R2" s="17">
        <v>0</v>
      </c>
      <c r="S2" s="5">
        <f>I19/60</f>
        <v>0</v>
      </c>
      <c r="T2" s="1">
        <v>0</v>
      </c>
      <c r="U2" s="1">
        <v>31</v>
      </c>
      <c r="V2" s="18">
        <f>(I5/U2)*T2</f>
        <v>0</v>
      </c>
      <c r="Y2" s="11"/>
      <c r="Z2" s="19">
        <f t="shared" ref="Z2:AC6" si="0">N13</f>
        <v>1</v>
      </c>
      <c r="AA2" s="11">
        <f t="shared" si="0"/>
        <v>2259.1999999999998</v>
      </c>
      <c r="AB2" s="12">
        <f t="shared" si="0"/>
        <v>0</v>
      </c>
      <c r="AC2" s="11">
        <f t="shared" si="0"/>
        <v>0</v>
      </c>
    </row>
    <row r="3" spans="1:29" x14ac:dyDescent="0.25">
      <c r="B3" s="20" t="s">
        <v>22</v>
      </c>
      <c r="C3" s="20"/>
      <c r="D3" s="21">
        <v>30</v>
      </c>
      <c r="E3" s="21">
        <v>30</v>
      </c>
      <c r="F3" s="22">
        <f>(I5/E3)*D3</f>
        <v>5287.5</v>
      </c>
      <c r="H3" s="6" t="s">
        <v>15</v>
      </c>
      <c r="I3" s="23">
        <v>5287.5</v>
      </c>
      <c r="J3" s="6"/>
      <c r="M3" s="13"/>
      <c r="N3" s="14">
        <v>2</v>
      </c>
      <c r="O3" s="15">
        <v>2793.88</v>
      </c>
      <c r="P3" s="16">
        <v>0.11</v>
      </c>
      <c r="Q3" s="15">
        <f>(O3-O2)*P3</f>
        <v>140.3468</v>
      </c>
      <c r="R3" s="17">
        <v>22.77</v>
      </c>
      <c r="S3" s="5">
        <f>I20/60</f>
        <v>0</v>
      </c>
      <c r="T3" s="1">
        <f>T2</f>
        <v>0</v>
      </c>
      <c r="U3" s="1">
        <f>U2</f>
        <v>31</v>
      </c>
      <c r="V3" s="18">
        <f>(A3/U3)*T3</f>
        <v>0</v>
      </c>
      <c r="Y3" s="11"/>
      <c r="Z3" s="19">
        <f t="shared" si="0"/>
        <v>2</v>
      </c>
      <c r="AA3" s="11">
        <f t="shared" si="0"/>
        <v>2826.65</v>
      </c>
      <c r="AB3" s="12">
        <f t="shared" si="0"/>
        <v>7.4999999999999997E-2</v>
      </c>
      <c r="AC3" s="11">
        <f t="shared" si="0"/>
        <v>169.44</v>
      </c>
    </row>
    <row r="4" spans="1:29" ht="16.5" thickBot="1" x14ac:dyDescent="0.3">
      <c r="F4" s="24">
        <f>F3</f>
        <v>5287.5</v>
      </c>
      <c r="H4" s="6" t="s">
        <v>16</v>
      </c>
      <c r="I4" s="25">
        <f>P29+P30+P31+P32</f>
        <v>0</v>
      </c>
      <c r="J4" s="6"/>
      <c r="M4" s="13"/>
      <c r="N4" s="14">
        <v>3</v>
      </c>
      <c r="O4" s="15">
        <v>4190.83</v>
      </c>
      <c r="P4" s="16">
        <v>0.11</v>
      </c>
      <c r="Q4" s="15">
        <f>(O4-O3)*P4</f>
        <v>153.66449999999998</v>
      </c>
      <c r="R4" s="17">
        <v>106.59</v>
      </c>
      <c r="T4" s="26">
        <v>0.33333299999999999</v>
      </c>
      <c r="U4" s="27"/>
      <c r="V4" s="18">
        <f>(V2+V3)*T4</f>
        <v>0</v>
      </c>
      <c r="Y4" s="11"/>
      <c r="Z4" s="19">
        <f t="shared" si="0"/>
        <v>3</v>
      </c>
      <c r="AA4" s="11">
        <f t="shared" si="0"/>
        <v>3751.05</v>
      </c>
      <c r="AB4" s="12">
        <f t="shared" si="0"/>
        <v>0.15</v>
      </c>
      <c r="AC4" s="11">
        <f t="shared" si="0"/>
        <v>381.44</v>
      </c>
    </row>
    <row r="5" spans="1:29" ht="16.5" thickBot="1" x14ac:dyDescent="0.3">
      <c r="B5" s="20" t="s">
        <v>6</v>
      </c>
      <c r="C5" s="20"/>
      <c r="D5" s="20"/>
      <c r="E5" s="20"/>
      <c r="F5" s="28">
        <f>P23</f>
        <v>581.625</v>
      </c>
      <c r="H5" s="5" t="s">
        <v>44</v>
      </c>
      <c r="I5" s="29">
        <f>I3+I4</f>
        <v>5287.5</v>
      </c>
      <c r="J5" s="6"/>
      <c r="M5" s="13"/>
      <c r="N5" s="14">
        <v>4</v>
      </c>
      <c r="O5" s="15">
        <v>8157.41</v>
      </c>
      <c r="P5" s="16">
        <v>0.11</v>
      </c>
      <c r="Q5" s="15">
        <f>(O5-O4)*P5</f>
        <v>436.32380000000001</v>
      </c>
      <c r="R5" s="17">
        <v>190.4</v>
      </c>
      <c r="S5" s="5">
        <f>H18+S1</f>
        <v>0</v>
      </c>
      <c r="T5" s="27"/>
      <c r="U5" s="27"/>
      <c r="V5" s="2">
        <f>V2+V3+V4</f>
        <v>0</v>
      </c>
      <c r="Y5" s="11"/>
      <c r="Z5" s="19">
        <f t="shared" si="0"/>
        <v>4</v>
      </c>
      <c r="AA5" s="11">
        <f t="shared" si="0"/>
        <v>4664.68</v>
      </c>
      <c r="AB5" s="12">
        <f t="shared" si="0"/>
        <v>0.22500000000000001</v>
      </c>
      <c r="AC5" s="11">
        <f t="shared" si="0"/>
        <v>662.77</v>
      </c>
    </row>
    <row r="6" spans="1:29" x14ac:dyDescent="0.25">
      <c r="B6" s="20" t="s">
        <v>45</v>
      </c>
      <c r="C6" s="20"/>
      <c r="D6" s="20"/>
      <c r="E6" s="20"/>
      <c r="F6" s="30">
        <f>Q23</f>
        <v>398.11562500000014</v>
      </c>
      <c r="H6" s="6"/>
      <c r="J6" s="6"/>
      <c r="M6" s="13"/>
      <c r="N6" s="31"/>
      <c r="O6" s="32"/>
      <c r="P6" s="33"/>
      <c r="Q6" s="32">
        <f>SUM(Q2:Q5)</f>
        <v>897.31510000000003</v>
      </c>
      <c r="R6" s="17"/>
      <c r="S6" s="5">
        <f>H19+S2</f>
        <v>0</v>
      </c>
      <c r="Y6" s="11"/>
      <c r="Z6" s="19">
        <f t="shared" si="0"/>
        <v>5</v>
      </c>
      <c r="AA6" s="11">
        <f t="shared" si="0"/>
        <v>999999</v>
      </c>
      <c r="AB6" s="12">
        <f t="shared" si="0"/>
        <v>0.27500000000000002</v>
      </c>
      <c r="AC6" s="11">
        <f t="shared" si="0"/>
        <v>896</v>
      </c>
    </row>
    <row r="7" spans="1:29" ht="16.5" thickBot="1" x14ac:dyDescent="0.3">
      <c r="A7" s="34"/>
      <c r="H7" s="6"/>
      <c r="J7" s="6"/>
      <c r="M7" s="13"/>
      <c r="O7" s="32" t="s">
        <v>8</v>
      </c>
      <c r="P7" s="32"/>
      <c r="Q7" s="32"/>
      <c r="R7" s="17"/>
      <c r="S7" s="5">
        <f>H20+S3</f>
        <v>0</v>
      </c>
      <c r="Y7" s="32"/>
      <c r="Z7" s="32"/>
      <c r="AA7" s="32"/>
      <c r="AB7" s="33"/>
      <c r="AC7" s="32"/>
    </row>
    <row r="8" spans="1:29" ht="16.5" thickBot="1" x14ac:dyDescent="0.3">
      <c r="B8" s="5" t="s">
        <v>23</v>
      </c>
      <c r="F8" s="35">
        <f>F3-F5-F6</f>
        <v>4307.7593749999996</v>
      </c>
      <c r="H8" s="20" t="s">
        <v>18</v>
      </c>
      <c r="I8" s="15">
        <f>I3/220</f>
        <v>24.03409090909091</v>
      </c>
      <c r="J8" s="36"/>
      <c r="M8" s="13"/>
      <c r="O8" s="15">
        <v>1906.04</v>
      </c>
      <c r="P8" s="15">
        <v>65</v>
      </c>
      <c r="Q8" s="32"/>
      <c r="R8" s="17"/>
    </row>
    <row r="9" spans="1:29" x14ac:dyDescent="0.25">
      <c r="H9" s="6"/>
      <c r="M9" s="13"/>
      <c r="N9" s="32" t="s">
        <v>9</v>
      </c>
      <c r="O9" s="32"/>
      <c r="P9" s="33"/>
      <c r="Q9" s="32"/>
      <c r="R9" s="17"/>
      <c r="Y9" s="32"/>
      <c r="Z9" s="32"/>
      <c r="AA9" s="32"/>
      <c r="AB9" s="33"/>
      <c r="AC9" s="32"/>
    </row>
    <row r="10" spans="1:29" x14ac:dyDescent="0.25">
      <c r="G10" s="37"/>
      <c r="H10" s="38" t="s">
        <v>7</v>
      </c>
      <c r="I10" s="39">
        <f>P21*8%</f>
        <v>423</v>
      </c>
      <c r="M10" s="13"/>
      <c r="N10" s="40"/>
      <c r="O10" s="20">
        <v>189.59</v>
      </c>
      <c r="P10" s="41" t="s">
        <v>10</v>
      </c>
      <c r="Q10" s="64">
        <v>564.79999999999995</v>
      </c>
      <c r="R10" s="17"/>
      <c r="AB10" s="33"/>
      <c r="AC10" s="32"/>
    </row>
    <row r="11" spans="1:29" x14ac:dyDescent="0.25">
      <c r="M11" s="13"/>
      <c r="O11" s="32"/>
      <c r="P11" s="33"/>
      <c r="Q11" s="32"/>
      <c r="R11" s="17"/>
      <c r="AB11" s="33"/>
      <c r="AC11" s="32"/>
    </row>
    <row r="12" spans="1:29" x14ac:dyDescent="0.25">
      <c r="G12" s="61"/>
      <c r="H12" s="61"/>
      <c r="I12" s="61"/>
      <c r="J12" s="61"/>
      <c r="M12" s="13"/>
      <c r="N12" s="32" t="s">
        <v>12</v>
      </c>
      <c r="O12" s="32"/>
      <c r="P12" s="33"/>
      <c r="Q12" s="32"/>
      <c r="R12" s="17"/>
      <c r="Y12" s="32"/>
      <c r="Z12" s="31"/>
      <c r="AA12" s="32"/>
      <c r="AB12" s="33"/>
      <c r="AC12" s="32"/>
    </row>
    <row r="13" spans="1:29" x14ac:dyDescent="0.25">
      <c r="G13" s="61"/>
      <c r="H13" s="61" t="s">
        <v>19</v>
      </c>
      <c r="I13" s="61"/>
      <c r="J13" s="61"/>
      <c r="M13" s="13"/>
      <c r="N13" s="14">
        <v>1</v>
      </c>
      <c r="O13" s="15">
        <v>2259.1999999999998</v>
      </c>
      <c r="P13" s="16">
        <v>0</v>
      </c>
      <c r="Q13" s="15">
        <v>0</v>
      </c>
      <c r="R13" s="17"/>
      <c r="Y13" s="32"/>
      <c r="Z13" s="31"/>
      <c r="AA13" s="32"/>
      <c r="AB13" s="33"/>
      <c r="AC13" s="32"/>
    </row>
    <row r="14" spans="1:29" x14ac:dyDescent="0.25">
      <c r="G14" s="61"/>
      <c r="H14" s="62">
        <v>26</v>
      </c>
      <c r="I14" s="61"/>
      <c r="J14" s="61"/>
      <c r="M14" s="13"/>
      <c r="N14" s="14">
        <v>2</v>
      </c>
      <c r="O14" s="15">
        <v>2826.65</v>
      </c>
      <c r="P14" s="16">
        <v>7.4999999999999997E-2</v>
      </c>
      <c r="Q14" s="15">
        <v>169.44</v>
      </c>
      <c r="R14" s="17"/>
    </row>
    <row r="15" spans="1:29" x14ac:dyDescent="0.25">
      <c r="G15" s="61"/>
      <c r="H15" s="62">
        <v>5</v>
      </c>
      <c r="I15" s="61"/>
      <c r="J15" s="61"/>
      <c r="M15" s="13"/>
      <c r="N15" s="14">
        <v>3</v>
      </c>
      <c r="O15" s="15">
        <v>3751.05</v>
      </c>
      <c r="P15" s="16">
        <v>0.15</v>
      </c>
      <c r="Q15" s="15">
        <v>381.44</v>
      </c>
      <c r="R15" s="17"/>
    </row>
    <row r="16" spans="1:29" x14ac:dyDescent="0.25">
      <c r="G16" s="61"/>
      <c r="H16" s="61"/>
      <c r="I16" s="61"/>
      <c r="J16" s="61"/>
      <c r="M16" s="13"/>
      <c r="N16" s="14">
        <v>4</v>
      </c>
      <c r="O16" s="15">
        <v>4664.68</v>
      </c>
      <c r="P16" s="16">
        <v>0.22500000000000001</v>
      </c>
      <c r="Q16" s="15">
        <v>662.77</v>
      </c>
      <c r="R16" s="17"/>
    </row>
    <row r="17" spans="7:18" x14ac:dyDescent="0.25">
      <c r="G17" s="61"/>
      <c r="H17" s="61" t="s">
        <v>21</v>
      </c>
      <c r="I17" s="61" t="s">
        <v>20</v>
      </c>
      <c r="J17" s="61"/>
      <c r="M17" s="13"/>
      <c r="N17" s="14">
        <v>5</v>
      </c>
      <c r="O17" s="15">
        <v>999999</v>
      </c>
      <c r="P17" s="43">
        <v>0.27500000000000002</v>
      </c>
      <c r="Q17" s="15">
        <v>896</v>
      </c>
      <c r="R17" s="17"/>
    </row>
    <row r="18" spans="7:18" ht="16.5" thickBot="1" x14ac:dyDescent="0.3">
      <c r="G18" s="63">
        <v>0.5</v>
      </c>
      <c r="H18" s="61"/>
      <c r="I18" s="61"/>
      <c r="J18" s="61"/>
      <c r="M18" s="46"/>
      <c r="N18" s="47"/>
      <c r="O18" s="47"/>
      <c r="P18" s="48"/>
      <c r="Q18" s="47"/>
      <c r="R18" s="49"/>
    </row>
    <row r="19" spans="7:18" ht="16.5" thickBot="1" x14ac:dyDescent="0.3">
      <c r="G19" s="63">
        <v>1</v>
      </c>
      <c r="H19" s="61"/>
      <c r="I19" s="61"/>
      <c r="J19" s="61"/>
    </row>
    <row r="20" spans="7:18" x14ac:dyDescent="0.25">
      <c r="G20" s="61" t="s">
        <v>17</v>
      </c>
      <c r="H20" s="61"/>
      <c r="I20" s="61"/>
      <c r="J20" s="61"/>
      <c r="O20" s="7" t="s">
        <v>0</v>
      </c>
      <c r="P20" s="8" t="s">
        <v>1</v>
      </c>
      <c r="Q20" s="10" t="s">
        <v>2</v>
      </c>
    </row>
    <row r="21" spans="7:18" x14ac:dyDescent="0.25">
      <c r="H21" s="6"/>
      <c r="O21" s="13">
        <f>V5+F4+Q27</f>
        <v>5287.5</v>
      </c>
      <c r="P21" s="32">
        <f>O21</f>
        <v>5287.5</v>
      </c>
      <c r="Q21" s="50">
        <f>P21</f>
        <v>5287.5</v>
      </c>
    </row>
    <row r="22" spans="7:18" x14ac:dyDescent="0.25">
      <c r="H22" s="6"/>
      <c r="O22" s="13">
        <v>7087.22</v>
      </c>
      <c r="P22" s="51">
        <f>IF(O21&gt;O5,Q6,IF(O21&gt;O4,(O21-O4)*P5+Q4+Q3+Q2,IF(O21&gt;O3,(O21-O3)*P4+Q3+Q2,IF(O21&gt;O2,(O21-O2)*P3+Q2,O21*P2))))</f>
        <v>581.625</v>
      </c>
      <c r="Q22" s="17">
        <f>Q21-P22-P24</f>
        <v>4705.875</v>
      </c>
    </row>
    <row r="23" spans="7:18" ht="16.5" thickBot="1" x14ac:dyDescent="0.3">
      <c r="O23" s="52"/>
      <c r="P23" s="53">
        <f>IF(P22&gt;$Q$6,$Q$6,P22)</f>
        <v>581.625</v>
      </c>
      <c r="Q23" s="54">
        <f>IF(Q35&gt;Q34,Q34,Q35)</f>
        <v>398.11562500000014</v>
      </c>
    </row>
    <row r="24" spans="7:18" x14ac:dyDescent="0.25">
      <c r="O24" s="55" t="s">
        <v>3</v>
      </c>
      <c r="P24" s="56">
        <f>N10*O10</f>
        <v>0</v>
      </c>
      <c r="Q24" s="55"/>
    </row>
    <row r="26" spans="7:18" x14ac:dyDescent="0.25">
      <c r="R26" s="57"/>
    </row>
    <row r="27" spans="7:18" s="3" customFormat="1" hidden="1" x14ac:dyDescent="0.25">
      <c r="Q27" s="58"/>
      <c r="R27" s="58"/>
    </row>
    <row r="28" spans="7:18" hidden="1" x14ac:dyDescent="0.25"/>
    <row r="29" spans="7:18" x14ac:dyDescent="0.25">
      <c r="O29" s="20" t="s">
        <v>11</v>
      </c>
      <c r="P29" s="59">
        <f>Q29*S5</f>
        <v>0</v>
      </c>
      <c r="Q29" s="60">
        <f>(I8*50%)+I8</f>
        <v>36.051136363636367</v>
      </c>
    </row>
    <row r="30" spans="7:18" x14ac:dyDescent="0.25">
      <c r="O30" s="20" t="s">
        <v>13</v>
      </c>
      <c r="P30" s="59">
        <f>Q30*S6</f>
        <v>0</v>
      </c>
      <c r="Q30" s="60">
        <f>(I8*100%)+I8</f>
        <v>48.06818181818182</v>
      </c>
    </row>
    <row r="31" spans="7:18" x14ac:dyDescent="0.25">
      <c r="O31" s="20" t="s">
        <v>14</v>
      </c>
      <c r="P31" s="59">
        <f>((P29+P30)/H14)*H15</f>
        <v>0</v>
      </c>
      <c r="Q31" s="20"/>
    </row>
    <row r="32" spans="7:18" x14ac:dyDescent="0.25">
      <c r="O32" s="20" t="s">
        <v>17</v>
      </c>
      <c r="P32" s="59">
        <f>Q32*S7</f>
        <v>0</v>
      </c>
      <c r="Q32" s="60">
        <f>(I8*20%)</f>
        <v>4.8068181818181825</v>
      </c>
    </row>
    <row r="34" spans="15:17" x14ac:dyDescent="0.25">
      <c r="O34" s="25">
        <f>Q21-564.8</f>
        <v>4722.7</v>
      </c>
      <c r="P34" s="31"/>
      <c r="Q34" s="15">
        <f>IF(O34&lt;AA2,0,IF(O34&lt;AA3,O34*AB3-AC3,IF(O34&lt;AA4,O34*AB4-AC4,IF(O34&lt;AA5,O34*AB5-AC5,O34*AB6-AC6))))</f>
        <v>402.74250000000006</v>
      </c>
    </row>
    <row r="35" spans="15:17" x14ac:dyDescent="0.25">
      <c r="O35" s="32"/>
      <c r="P35" s="31"/>
      <c r="Q35" s="15">
        <f>IF(Q22&gt;AA6,Q22*AB6-AC6,IF(Q22&gt;AA5,Q22*AB6-AC6,IF(Q22&gt;AA4,Q22*AB5-AC5,IF(Q22&gt;AA3,Q22*AB4-AC4,IF(Q22&gt;AA2,Q22*AB3-AC3,0)))))</f>
        <v>398.11562500000014</v>
      </c>
    </row>
  </sheetData>
  <protectedRanges>
    <protectedRange sqref="I5 I3 D3:E3" name="Intervalo1"/>
    <protectedRange sqref="N10" name="Intervalo1_2"/>
  </protectedRanges>
  <dataValidations count="1">
    <dataValidation type="whole" allowBlank="1" showInputMessage="1" showErrorMessage="1" sqref="N10" xr:uid="{AED389C9-8CBB-4093-94EA-83266F291436}">
      <formula1>1</formula1>
      <formula2>5</formula2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DEA2-2285-4785-B3FB-258CF7251D06}">
  <dimension ref="A1:AC35"/>
  <sheetViews>
    <sheetView topLeftCell="B1" workbookViewId="0">
      <selection activeCell="I4" sqref="I4"/>
    </sheetView>
  </sheetViews>
  <sheetFormatPr defaultRowHeight="15.75" x14ac:dyDescent="0.25"/>
  <cols>
    <col min="1" max="1" width="13.28515625" style="5" hidden="1" customWidth="1"/>
    <col min="2" max="2" width="11.140625" style="5" customWidth="1"/>
    <col min="3" max="3" width="4.7109375" style="5" customWidth="1"/>
    <col min="4" max="5" width="3.28515625" style="5" bestFit="1" customWidth="1"/>
    <col min="6" max="6" width="15.5703125" style="5" customWidth="1"/>
    <col min="7" max="7" width="14.28515625" style="5" bestFit="1" customWidth="1"/>
    <col min="8" max="8" width="17.5703125" style="5" bestFit="1" customWidth="1"/>
    <col min="9" max="9" width="11.5703125" style="5" bestFit="1" customWidth="1"/>
    <col min="10" max="10" width="9.42578125" style="5" bestFit="1" customWidth="1"/>
    <col min="11" max="11" width="4.5703125" style="5" customWidth="1"/>
    <col min="12" max="12" width="7.28515625" style="5" bestFit="1" customWidth="1"/>
    <col min="13" max="13" width="2.28515625" style="5" customWidth="1"/>
    <col min="14" max="14" width="6.28515625" style="5" customWidth="1"/>
    <col min="15" max="15" width="18.85546875" style="5" bestFit="1" customWidth="1"/>
    <col min="16" max="16" width="13.7109375" style="5" bestFit="1" customWidth="1"/>
    <col min="17" max="17" width="13.140625" style="5" bestFit="1" customWidth="1"/>
    <col min="18" max="18" width="15.85546875" style="5" customWidth="1"/>
    <col min="19" max="19" width="9.28515625" style="5" hidden="1" customWidth="1"/>
    <col min="20" max="22" width="0" style="5" hidden="1" customWidth="1"/>
    <col min="23" max="24" width="9.140625" style="5"/>
    <col min="25" max="25" width="10" style="5" bestFit="1" customWidth="1"/>
    <col min="26" max="26" width="9.28515625" style="5" bestFit="1" customWidth="1"/>
    <col min="27" max="27" width="12.7109375" style="5" bestFit="1" customWidth="1"/>
    <col min="28" max="29" width="9.28515625" style="5" bestFit="1" customWidth="1"/>
    <col min="30" max="16384" width="9.140625" style="5"/>
  </cols>
  <sheetData>
    <row r="1" spans="1:29" x14ac:dyDescent="0.25">
      <c r="H1" s="6"/>
      <c r="I1" s="6"/>
      <c r="J1" s="6"/>
      <c r="M1" s="7"/>
      <c r="N1" s="8" t="s">
        <v>4</v>
      </c>
      <c r="O1" s="8"/>
      <c r="P1" s="9"/>
      <c r="Q1" s="8" t="s">
        <v>5</v>
      </c>
      <c r="R1" s="10"/>
      <c r="S1" s="5">
        <f>I18/60</f>
        <v>0</v>
      </c>
      <c r="T1" s="3"/>
      <c r="U1" s="4"/>
      <c r="V1" s="4"/>
      <c r="Y1" s="11"/>
      <c r="Z1" s="11" t="s">
        <v>12</v>
      </c>
      <c r="AA1" s="11"/>
      <c r="AB1" s="12"/>
      <c r="AC1" s="11"/>
    </row>
    <row r="2" spans="1:29" ht="16.5" thickBot="1" x14ac:dyDescent="0.3">
      <c r="H2" s="6"/>
      <c r="J2" s="6"/>
      <c r="M2" s="13"/>
      <c r="N2" s="14">
        <v>1</v>
      </c>
      <c r="O2" s="15">
        <v>1518</v>
      </c>
      <c r="P2" s="16">
        <v>0.11</v>
      </c>
      <c r="Q2" s="15">
        <f>O2*P2</f>
        <v>166.98</v>
      </c>
      <c r="R2" s="17">
        <v>0</v>
      </c>
      <c r="S2" s="5">
        <f>I19/60</f>
        <v>0</v>
      </c>
      <c r="T2" s="1">
        <v>0</v>
      </c>
      <c r="U2" s="1">
        <v>31</v>
      </c>
      <c r="V2" s="18">
        <f>(I5/U2)*T2</f>
        <v>0</v>
      </c>
      <c r="Y2" s="11"/>
      <c r="Z2" s="19">
        <f t="shared" ref="Z2:AC6" si="0">N13</f>
        <v>1</v>
      </c>
      <c r="AA2" s="11">
        <f t="shared" si="0"/>
        <v>2428.8000000000002</v>
      </c>
      <c r="AB2" s="12">
        <f t="shared" si="0"/>
        <v>0</v>
      </c>
      <c r="AC2" s="11">
        <f t="shared" si="0"/>
        <v>0</v>
      </c>
    </row>
    <row r="3" spans="1:29" x14ac:dyDescent="0.25">
      <c r="B3" s="20" t="s">
        <v>22</v>
      </c>
      <c r="C3" s="20"/>
      <c r="D3" s="21">
        <v>30</v>
      </c>
      <c r="E3" s="21">
        <v>30</v>
      </c>
      <c r="F3" s="22">
        <f>(I5/E3)*D3</f>
        <v>5740.28</v>
      </c>
      <c r="H3" s="6" t="s">
        <v>15</v>
      </c>
      <c r="I3" s="23">
        <v>5740.28</v>
      </c>
      <c r="J3" s="6"/>
      <c r="M3" s="13"/>
      <c r="N3" s="14">
        <v>2</v>
      </c>
      <c r="O3" s="15">
        <v>2793.88</v>
      </c>
      <c r="P3" s="16">
        <v>0.11</v>
      </c>
      <c r="Q3" s="15">
        <f>(O3-O2)*P3</f>
        <v>140.3468</v>
      </c>
      <c r="R3" s="17">
        <v>22.77</v>
      </c>
      <c r="S3" s="5">
        <f>I20/60</f>
        <v>0</v>
      </c>
      <c r="T3" s="1">
        <f>T2</f>
        <v>0</v>
      </c>
      <c r="U3" s="1">
        <f>U2</f>
        <v>31</v>
      </c>
      <c r="V3" s="18">
        <f>(A3/U3)*T3</f>
        <v>0</v>
      </c>
      <c r="Y3" s="11"/>
      <c r="Z3" s="19">
        <f t="shared" si="0"/>
        <v>2</v>
      </c>
      <c r="AA3" s="11">
        <f t="shared" si="0"/>
        <v>2826.65</v>
      </c>
      <c r="AB3" s="12">
        <f t="shared" si="0"/>
        <v>7.4999999999999997E-2</v>
      </c>
      <c r="AC3" s="11">
        <f t="shared" si="0"/>
        <v>182.16</v>
      </c>
    </row>
    <row r="4" spans="1:29" ht="16.5" thickBot="1" x14ac:dyDescent="0.3">
      <c r="F4" s="24">
        <f>F3</f>
        <v>5740.28</v>
      </c>
      <c r="H4" s="6" t="s">
        <v>16</v>
      </c>
      <c r="I4" s="25">
        <f>P29+P30+P31+P32</f>
        <v>0</v>
      </c>
      <c r="J4" s="6"/>
      <c r="M4" s="13"/>
      <c r="N4" s="14">
        <v>3</v>
      </c>
      <c r="O4" s="15">
        <v>4190.83</v>
      </c>
      <c r="P4" s="16">
        <v>0.11</v>
      </c>
      <c r="Q4" s="15">
        <f>(O4-O3)*P4</f>
        <v>153.66449999999998</v>
      </c>
      <c r="R4" s="17">
        <v>106.59</v>
      </c>
      <c r="T4" s="26">
        <v>0.33333299999999999</v>
      </c>
      <c r="U4" s="27"/>
      <c r="V4" s="18">
        <f>(V2+V3)*T4</f>
        <v>0</v>
      </c>
      <c r="Y4" s="11"/>
      <c r="Z4" s="19">
        <f t="shared" si="0"/>
        <v>3</v>
      </c>
      <c r="AA4" s="11">
        <f t="shared" si="0"/>
        <v>3751.05</v>
      </c>
      <c r="AB4" s="12">
        <f t="shared" si="0"/>
        <v>0.15</v>
      </c>
      <c r="AC4" s="11">
        <f t="shared" si="0"/>
        <v>394.16</v>
      </c>
    </row>
    <row r="5" spans="1:29" ht="16.5" thickBot="1" x14ac:dyDescent="0.3">
      <c r="B5" s="20" t="s">
        <v>6</v>
      </c>
      <c r="C5" s="20"/>
      <c r="D5" s="20"/>
      <c r="E5" s="20"/>
      <c r="F5" s="28">
        <f>P23</f>
        <v>631.43079999999998</v>
      </c>
      <c r="H5" s="5" t="s">
        <v>44</v>
      </c>
      <c r="I5" s="29">
        <f>I3+I4</f>
        <v>5740.28</v>
      </c>
      <c r="J5" s="6"/>
      <c r="M5" s="13"/>
      <c r="N5" s="14">
        <v>4</v>
      </c>
      <c r="O5" s="15">
        <v>8157.41</v>
      </c>
      <c r="P5" s="16">
        <v>0.11</v>
      </c>
      <c r="Q5" s="15">
        <f>(O5-O4)*P5</f>
        <v>436.32380000000001</v>
      </c>
      <c r="R5" s="17">
        <v>190.4</v>
      </c>
      <c r="S5" s="5">
        <f>H18+S1</f>
        <v>0</v>
      </c>
      <c r="T5" s="27"/>
      <c r="U5" s="27"/>
      <c r="V5" s="2">
        <f>V2+V3+V4</f>
        <v>0</v>
      </c>
      <c r="Y5" s="11"/>
      <c r="Z5" s="19">
        <f t="shared" si="0"/>
        <v>4</v>
      </c>
      <c r="AA5" s="11">
        <f t="shared" si="0"/>
        <v>4664.68</v>
      </c>
      <c r="AB5" s="12">
        <f t="shared" si="0"/>
        <v>0.22500000000000001</v>
      </c>
      <c r="AC5" s="11">
        <f t="shared" si="0"/>
        <v>675.49</v>
      </c>
    </row>
    <row r="6" spans="1:29" x14ac:dyDescent="0.25">
      <c r="B6" s="20" t="s">
        <v>45</v>
      </c>
      <c r="C6" s="20"/>
      <c r="D6" s="20"/>
      <c r="E6" s="20"/>
      <c r="F6" s="30">
        <f>Q23</f>
        <v>496.20353</v>
      </c>
      <c r="H6" s="6"/>
      <c r="J6" s="6"/>
      <c r="M6" s="13"/>
      <c r="N6" s="31"/>
      <c r="O6" s="32"/>
      <c r="P6" s="33"/>
      <c r="Q6" s="32">
        <f>SUM(Q2:Q5)</f>
        <v>897.31510000000003</v>
      </c>
      <c r="R6" s="17"/>
      <c r="S6" s="5">
        <f>H19+S2</f>
        <v>0</v>
      </c>
      <c r="Y6" s="11"/>
      <c r="Z6" s="19">
        <f t="shared" si="0"/>
        <v>5</v>
      </c>
      <c r="AA6" s="11">
        <f t="shared" si="0"/>
        <v>999999</v>
      </c>
      <c r="AB6" s="12">
        <f t="shared" si="0"/>
        <v>0.27500000000000002</v>
      </c>
      <c r="AC6" s="11">
        <f t="shared" si="0"/>
        <v>908.73</v>
      </c>
    </row>
    <row r="7" spans="1:29" ht="16.5" thickBot="1" x14ac:dyDescent="0.3">
      <c r="A7" s="34"/>
      <c r="H7" s="6"/>
      <c r="J7" s="6"/>
      <c r="M7" s="13"/>
      <c r="O7" s="32" t="s">
        <v>8</v>
      </c>
      <c r="P7" s="32"/>
      <c r="Q7" s="32"/>
      <c r="R7" s="17"/>
      <c r="S7" s="5">
        <f>H20+S3</f>
        <v>0</v>
      </c>
      <c r="Y7" s="32"/>
      <c r="Z7" s="32"/>
      <c r="AA7" s="32"/>
      <c r="AB7" s="33"/>
      <c r="AC7" s="32"/>
    </row>
    <row r="8" spans="1:29" ht="16.5" thickBot="1" x14ac:dyDescent="0.3">
      <c r="B8" s="5" t="s">
        <v>23</v>
      </c>
      <c r="F8" s="35">
        <f>F3-F5-F6</f>
        <v>4612.6456699999999</v>
      </c>
      <c r="H8" s="20" t="s">
        <v>18</v>
      </c>
      <c r="I8" s="15">
        <f>I3/220</f>
        <v>26.092181818181817</v>
      </c>
      <c r="J8" s="36"/>
      <c r="M8" s="13"/>
      <c r="O8" s="15">
        <v>1906.04</v>
      </c>
      <c r="P8" s="15">
        <v>65</v>
      </c>
      <c r="Q8" s="32"/>
      <c r="R8" s="17"/>
    </row>
    <row r="9" spans="1:29" x14ac:dyDescent="0.25">
      <c r="H9" s="6"/>
      <c r="M9" s="13"/>
      <c r="N9" s="32" t="s">
        <v>9</v>
      </c>
      <c r="O9" s="32"/>
      <c r="P9" s="33"/>
      <c r="Q9" s="32"/>
      <c r="R9" s="17"/>
      <c r="Y9" s="32"/>
      <c r="Z9" s="32"/>
      <c r="AA9" s="32"/>
      <c r="AB9" s="33"/>
      <c r="AC9" s="32"/>
    </row>
    <row r="10" spans="1:29" x14ac:dyDescent="0.25">
      <c r="G10" s="37"/>
      <c r="H10" s="38" t="s">
        <v>7</v>
      </c>
      <c r="I10" s="39">
        <f>P21*8%</f>
        <v>459.22239999999999</v>
      </c>
      <c r="M10" s="13"/>
      <c r="N10" s="109"/>
      <c r="O10" s="110">
        <v>189.59</v>
      </c>
      <c r="P10" s="111" t="s">
        <v>10</v>
      </c>
      <c r="Q10" s="112">
        <v>607.20000000000005</v>
      </c>
      <c r="R10" s="17"/>
      <c r="AB10" s="33"/>
      <c r="AC10" s="32"/>
    </row>
    <row r="11" spans="1:29" x14ac:dyDescent="0.25">
      <c r="M11" s="13"/>
      <c r="N11" s="113"/>
      <c r="O11" s="114"/>
      <c r="P11" s="115"/>
      <c r="Q11" s="114"/>
      <c r="R11" s="17"/>
      <c r="AB11" s="33"/>
      <c r="AC11" s="32"/>
    </row>
    <row r="12" spans="1:29" x14ac:dyDescent="0.25">
      <c r="G12" s="61"/>
      <c r="H12" s="61"/>
      <c r="I12" s="61"/>
      <c r="J12" s="61"/>
      <c r="M12" s="13"/>
      <c r="N12" s="69" t="s">
        <v>12</v>
      </c>
      <c r="O12" s="69"/>
      <c r="P12" s="116"/>
      <c r="Q12" s="69"/>
      <c r="R12" s="17"/>
      <c r="Y12" s="32"/>
      <c r="Z12" s="31"/>
      <c r="AA12" s="32"/>
      <c r="AB12" s="33"/>
      <c r="AC12" s="32"/>
    </row>
    <row r="13" spans="1:29" x14ac:dyDescent="0.25">
      <c r="G13" s="61"/>
      <c r="H13" s="61" t="s">
        <v>19</v>
      </c>
      <c r="I13" s="61"/>
      <c r="J13" s="61"/>
      <c r="M13" s="13"/>
      <c r="N13" s="117">
        <v>1</v>
      </c>
      <c r="O13" s="118">
        <v>2428.8000000000002</v>
      </c>
      <c r="P13" s="119">
        <v>0</v>
      </c>
      <c r="Q13" s="118">
        <v>0</v>
      </c>
      <c r="R13" s="17"/>
      <c r="Y13" s="32"/>
      <c r="Z13" s="31"/>
      <c r="AA13" s="32"/>
      <c r="AB13" s="33"/>
      <c r="AC13" s="32"/>
    </row>
    <row r="14" spans="1:29" x14ac:dyDescent="0.25">
      <c r="G14" s="61"/>
      <c r="H14" s="62">
        <v>26</v>
      </c>
      <c r="I14" s="61"/>
      <c r="J14" s="61"/>
      <c r="M14" s="13"/>
      <c r="N14" s="117">
        <v>2</v>
      </c>
      <c r="O14" s="118">
        <v>2826.65</v>
      </c>
      <c r="P14" s="119">
        <v>7.4999999999999997E-2</v>
      </c>
      <c r="Q14" s="118">
        <v>182.16</v>
      </c>
      <c r="R14" s="17"/>
    </row>
    <row r="15" spans="1:29" x14ac:dyDescent="0.25">
      <c r="G15" s="61"/>
      <c r="H15" s="62">
        <v>5</v>
      </c>
      <c r="I15" s="61"/>
      <c r="J15" s="61"/>
      <c r="M15" s="13"/>
      <c r="N15" s="117">
        <v>3</v>
      </c>
      <c r="O15" s="118">
        <v>3751.05</v>
      </c>
      <c r="P15" s="119">
        <v>0.15</v>
      </c>
      <c r="Q15" s="118">
        <v>394.16</v>
      </c>
      <c r="R15" s="17"/>
    </row>
    <row r="16" spans="1:29" x14ac:dyDescent="0.25">
      <c r="G16" s="61"/>
      <c r="H16" s="61"/>
      <c r="I16" s="61"/>
      <c r="J16" s="61"/>
      <c r="M16" s="13"/>
      <c r="N16" s="117">
        <v>4</v>
      </c>
      <c r="O16" s="118">
        <v>4664.68</v>
      </c>
      <c r="P16" s="119">
        <v>0.22500000000000001</v>
      </c>
      <c r="Q16" s="118">
        <v>675.49</v>
      </c>
      <c r="R16" s="17"/>
    </row>
    <row r="17" spans="7:18" x14ac:dyDescent="0.25">
      <c r="G17" s="61"/>
      <c r="H17" s="61" t="s">
        <v>21</v>
      </c>
      <c r="I17" s="61" t="s">
        <v>20</v>
      </c>
      <c r="J17" s="61"/>
      <c r="M17" s="13"/>
      <c r="N17" s="117">
        <v>5</v>
      </c>
      <c r="O17" s="118">
        <v>999999</v>
      </c>
      <c r="P17" s="120">
        <v>0.27500000000000002</v>
      </c>
      <c r="Q17" s="118">
        <v>908.73</v>
      </c>
      <c r="R17" s="17"/>
    </row>
    <row r="18" spans="7:18" ht="16.5" thickBot="1" x14ac:dyDescent="0.3">
      <c r="G18" s="63">
        <v>0.5</v>
      </c>
      <c r="H18" s="61"/>
      <c r="I18" s="61"/>
      <c r="J18" s="61"/>
      <c r="M18" s="46"/>
      <c r="N18" s="47"/>
      <c r="O18" s="47"/>
      <c r="P18" s="48"/>
      <c r="Q18" s="47"/>
      <c r="R18" s="49"/>
    </row>
    <row r="19" spans="7:18" ht="16.5" thickBot="1" x14ac:dyDescent="0.3">
      <c r="G19" s="63">
        <v>1</v>
      </c>
      <c r="H19" s="61"/>
      <c r="I19" s="61"/>
      <c r="J19" s="61"/>
    </row>
    <row r="20" spans="7:18" x14ac:dyDescent="0.25">
      <c r="G20" s="61" t="s">
        <v>17</v>
      </c>
      <c r="H20" s="61"/>
      <c r="I20" s="61"/>
      <c r="J20" s="61"/>
      <c r="O20" s="7" t="s">
        <v>0</v>
      </c>
      <c r="P20" s="8" t="s">
        <v>1</v>
      </c>
      <c r="Q20" s="10" t="s">
        <v>2</v>
      </c>
    </row>
    <row r="21" spans="7:18" x14ac:dyDescent="0.25">
      <c r="H21" s="6"/>
      <c r="O21" s="13">
        <f>V5+F4+Q27</f>
        <v>5740.28</v>
      </c>
      <c r="P21" s="32">
        <f>O21</f>
        <v>5740.28</v>
      </c>
      <c r="Q21" s="50">
        <f>P21</f>
        <v>5740.28</v>
      </c>
    </row>
    <row r="22" spans="7:18" x14ac:dyDescent="0.25">
      <c r="H22" s="6"/>
      <c r="O22" s="13">
        <v>7087.22</v>
      </c>
      <c r="P22" s="51">
        <f>IF(O21&gt;O5,Q6,IF(O21&gt;O4,(O21-O4)*P5+Q4+Q3+Q2,IF(O21&gt;O3,(O21-O3)*P4+Q3+Q2,IF(O21&gt;O2,(O21-O2)*P3+Q2,O21*P2))))</f>
        <v>631.43079999999998</v>
      </c>
      <c r="Q22" s="17">
        <f>Q21-P22-P24</f>
        <v>5108.8491999999997</v>
      </c>
    </row>
    <row r="23" spans="7:18" ht="16.5" thickBot="1" x14ac:dyDescent="0.3">
      <c r="O23" s="52"/>
      <c r="P23" s="53">
        <f>IF(P22&gt;$Q$6,$Q$6,P22)</f>
        <v>631.43079999999998</v>
      </c>
      <c r="Q23" s="54">
        <f>IF(Q35&gt;Q34,Q34,Q35)</f>
        <v>496.20353</v>
      </c>
    </row>
    <row r="24" spans="7:18" x14ac:dyDescent="0.25">
      <c r="O24" s="55" t="s">
        <v>3</v>
      </c>
      <c r="P24" s="56">
        <f>N10*O10</f>
        <v>0</v>
      </c>
      <c r="Q24" s="55"/>
    </row>
    <row r="26" spans="7:18" x14ac:dyDescent="0.25">
      <c r="R26" s="57"/>
    </row>
    <row r="27" spans="7:18" s="3" customFormat="1" hidden="1" x14ac:dyDescent="0.25">
      <c r="Q27" s="58"/>
      <c r="R27" s="58"/>
    </row>
    <row r="28" spans="7:18" hidden="1" x14ac:dyDescent="0.25"/>
    <row r="29" spans="7:18" x14ac:dyDescent="0.25">
      <c r="O29" s="20" t="s">
        <v>11</v>
      </c>
      <c r="P29" s="59">
        <f>Q29*S5</f>
        <v>0</v>
      </c>
      <c r="Q29" s="60">
        <f>(I8*50%)+I8</f>
        <v>39.138272727272728</v>
      </c>
    </row>
    <row r="30" spans="7:18" x14ac:dyDescent="0.25">
      <c r="O30" s="20" t="s">
        <v>13</v>
      </c>
      <c r="P30" s="59">
        <f>Q30*S6</f>
        <v>0</v>
      </c>
      <c r="Q30" s="60">
        <f>(I8*100%)+I8</f>
        <v>52.184363636363635</v>
      </c>
    </row>
    <row r="31" spans="7:18" x14ac:dyDescent="0.25">
      <c r="O31" s="20" t="s">
        <v>14</v>
      </c>
      <c r="P31" s="59">
        <f>((P29+P30)/H14)*H15</f>
        <v>0</v>
      </c>
      <c r="Q31" s="20"/>
    </row>
    <row r="32" spans="7:18" x14ac:dyDescent="0.25">
      <c r="O32" s="20" t="s">
        <v>17</v>
      </c>
      <c r="P32" s="59">
        <f>Q32*S7</f>
        <v>0</v>
      </c>
      <c r="Q32" s="60">
        <f>(I8*20%)</f>
        <v>5.2184363636363642</v>
      </c>
    </row>
    <row r="34" spans="15:17" x14ac:dyDescent="0.25">
      <c r="O34" s="25">
        <f>Q21-Q10</f>
        <v>5133.08</v>
      </c>
      <c r="P34" s="31"/>
      <c r="Q34" s="15">
        <f>IF(O34&lt;AA2,0,IF(O34&lt;AA3,O34*AB3-AC3,IF(O34&lt;AA4,O34*AB4-AC4,IF(O34&lt;AA5,O34*AB5-AC5,O34*AB6-AC6))))</f>
        <v>502.86700000000019</v>
      </c>
    </row>
    <row r="35" spans="15:17" x14ac:dyDescent="0.25">
      <c r="O35" s="32"/>
      <c r="P35" s="31"/>
      <c r="Q35" s="15">
        <f>IF(Q22&gt;AA6,Q22*AB6-AC6,IF(Q22&gt;AA5,Q22*AB6-AC6,IF(Q22&gt;AA4,Q22*AB5-AC5,IF(Q22&gt;AA3,Q22*AB4-AC4,IF(Q22&gt;AA2,Q22*AB3-AC3,0)))))</f>
        <v>496.20353</v>
      </c>
    </row>
  </sheetData>
  <protectedRanges>
    <protectedRange sqref="I5 I3 D3:E3" name="Intervalo1"/>
    <protectedRange sqref="N10" name="Intervalo1_1"/>
  </protectedRanges>
  <dataValidations count="1">
    <dataValidation type="whole" allowBlank="1" showInputMessage="1" showErrorMessage="1" sqref="N10" xr:uid="{280F795F-B0A3-4E54-A108-F3E3E031DD3F}">
      <formula1>1</formula1>
      <formula2>5</formula2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5549-9063-44E3-902E-5C53A474D797}">
  <dimension ref="A1:AC35"/>
  <sheetViews>
    <sheetView topLeftCell="B1" workbookViewId="0">
      <selection activeCell="I4" sqref="I4"/>
    </sheetView>
  </sheetViews>
  <sheetFormatPr defaultRowHeight="15.75" x14ac:dyDescent="0.25"/>
  <cols>
    <col min="1" max="1" width="13.28515625" style="5" hidden="1" customWidth="1"/>
    <col min="2" max="2" width="11.140625" style="5" customWidth="1"/>
    <col min="3" max="3" width="4.7109375" style="5" customWidth="1"/>
    <col min="4" max="5" width="3.28515625" style="5" bestFit="1" customWidth="1"/>
    <col min="6" max="6" width="15.5703125" style="5" customWidth="1"/>
    <col min="7" max="7" width="14.28515625" style="5" bestFit="1" customWidth="1"/>
    <col min="8" max="8" width="17.5703125" style="5" bestFit="1" customWidth="1"/>
    <col min="9" max="9" width="11.5703125" style="5" bestFit="1" customWidth="1"/>
    <col min="10" max="10" width="9.42578125" style="5" bestFit="1" customWidth="1"/>
    <col min="11" max="11" width="4.5703125" style="5" customWidth="1"/>
    <col min="12" max="12" width="7.28515625" style="5" bestFit="1" customWidth="1"/>
    <col min="13" max="13" width="2.28515625" style="5" customWidth="1"/>
    <col min="14" max="14" width="6.28515625" style="5" customWidth="1"/>
    <col min="15" max="15" width="18.85546875" style="5" bestFit="1" customWidth="1"/>
    <col min="16" max="16" width="13.7109375" style="5" bestFit="1" customWidth="1"/>
    <col min="17" max="17" width="13.140625" style="5" bestFit="1" customWidth="1"/>
    <col min="18" max="18" width="19.42578125" style="5" customWidth="1"/>
    <col min="19" max="19" width="9.28515625" style="5" hidden="1" customWidth="1"/>
    <col min="20" max="22" width="0" style="5" hidden="1" customWidth="1"/>
    <col min="23" max="24" width="9.140625" style="5"/>
    <col min="25" max="25" width="13.28515625" style="5" customWidth="1"/>
    <col min="26" max="26" width="9.28515625" style="5" bestFit="1" customWidth="1"/>
    <col min="27" max="27" width="12.7109375" style="5" bestFit="1" customWidth="1"/>
    <col min="28" max="29" width="9.28515625" style="5" bestFit="1" customWidth="1"/>
    <col min="30" max="16384" width="9.140625" style="5"/>
  </cols>
  <sheetData>
    <row r="1" spans="1:29" x14ac:dyDescent="0.25">
      <c r="H1" s="6"/>
      <c r="I1" s="6"/>
      <c r="J1" s="6"/>
      <c r="M1" s="7"/>
      <c r="N1" s="8" t="s">
        <v>46</v>
      </c>
      <c r="O1" s="8"/>
      <c r="P1" s="9"/>
      <c r="Q1" s="8" t="s">
        <v>47</v>
      </c>
      <c r="R1" s="10"/>
      <c r="S1" s="5">
        <f>I18/60</f>
        <v>0</v>
      </c>
      <c r="T1" s="3"/>
      <c r="U1" s="4"/>
      <c r="V1" s="4"/>
      <c r="Y1" s="11"/>
      <c r="Z1" s="11" t="s">
        <v>12</v>
      </c>
      <c r="AA1" s="11"/>
      <c r="AB1" s="12"/>
      <c r="AC1" s="11"/>
    </row>
    <row r="2" spans="1:29" ht="16.5" thickBot="1" x14ac:dyDescent="0.3">
      <c r="H2" s="6"/>
      <c r="J2" s="6"/>
      <c r="M2" s="13"/>
      <c r="N2" s="14">
        <v>1</v>
      </c>
      <c r="O2" s="15">
        <v>1621</v>
      </c>
      <c r="P2" s="16">
        <v>7.4999999999999997E-2</v>
      </c>
      <c r="Q2" s="15">
        <v>121.58</v>
      </c>
      <c r="R2" s="17" t="s">
        <v>48</v>
      </c>
      <c r="S2" s="5">
        <f>I19/60</f>
        <v>0</v>
      </c>
      <c r="T2" s="1">
        <v>0</v>
      </c>
      <c r="U2" s="1">
        <v>31</v>
      </c>
      <c r="V2" s="18">
        <f>(I5/U2)*T2</f>
        <v>0</v>
      </c>
      <c r="Y2" s="11"/>
      <c r="Z2" s="19">
        <f t="shared" ref="Z2:AC6" si="0">N13</f>
        <v>1</v>
      </c>
      <c r="AA2" s="11">
        <f t="shared" si="0"/>
        <v>2428.8000000000002</v>
      </c>
      <c r="AB2" s="12">
        <f t="shared" si="0"/>
        <v>0</v>
      </c>
      <c r="AC2" s="11">
        <f t="shared" si="0"/>
        <v>0</v>
      </c>
    </row>
    <row r="3" spans="1:29" x14ac:dyDescent="0.25">
      <c r="B3" s="20" t="s">
        <v>22</v>
      </c>
      <c r="C3" s="20"/>
      <c r="D3" s="21">
        <v>30</v>
      </c>
      <c r="E3" s="21">
        <v>30</v>
      </c>
      <c r="F3" s="22">
        <f>(I5/E3)*D3</f>
        <v>8157.4099999999989</v>
      </c>
      <c r="H3" s="6" t="s">
        <v>15</v>
      </c>
      <c r="I3" s="23">
        <v>8157.41</v>
      </c>
      <c r="J3" s="6"/>
      <c r="M3" s="13"/>
      <c r="N3" s="14">
        <v>2</v>
      </c>
      <c r="O3" s="15">
        <v>2902.84</v>
      </c>
      <c r="P3" s="16">
        <v>0.09</v>
      </c>
      <c r="Q3" s="15">
        <v>115.37</v>
      </c>
      <c r="R3" s="17">
        <v>24.32</v>
      </c>
      <c r="S3" s="5">
        <f>I20/60</f>
        <v>0</v>
      </c>
      <c r="T3" s="1">
        <f>T2</f>
        <v>0</v>
      </c>
      <c r="U3" s="1">
        <f>U2</f>
        <v>31</v>
      </c>
      <c r="V3" s="18">
        <f>(A3/U3)*T3</f>
        <v>0</v>
      </c>
      <c r="Y3" s="11"/>
      <c r="Z3" s="19">
        <f t="shared" si="0"/>
        <v>2</v>
      </c>
      <c r="AA3" s="11">
        <f t="shared" si="0"/>
        <v>2826.65</v>
      </c>
      <c r="AB3" s="12">
        <f t="shared" si="0"/>
        <v>7.4999999999999997E-2</v>
      </c>
      <c r="AC3" s="11">
        <f t="shared" si="0"/>
        <v>182.16</v>
      </c>
    </row>
    <row r="4" spans="1:29" ht="16.5" thickBot="1" x14ac:dyDescent="0.3">
      <c r="F4" s="24">
        <f>F3</f>
        <v>8157.4099999999989</v>
      </c>
      <c r="H4" s="6" t="s">
        <v>16</v>
      </c>
      <c r="I4" s="25">
        <f>P29+P30+P31+P32</f>
        <v>0</v>
      </c>
      <c r="J4" s="6"/>
      <c r="M4" s="13"/>
      <c r="N4" s="14">
        <v>3</v>
      </c>
      <c r="O4" s="15">
        <v>4354.2700000000004</v>
      </c>
      <c r="P4" s="16">
        <v>0.12</v>
      </c>
      <c r="Q4" s="15">
        <v>174.17</v>
      </c>
      <c r="R4" s="17">
        <v>111.4</v>
      </c>
      <c r="T4" s="26">
        <v>0.33333299999999999</v>
      </c>
      <c r="U4" s="27"/>
      <c r="V4" s="18">
        <f>(V2+V3)*T4</f>
        <v>0</v>
      </c>
      <c r="Y4" s="11"/>
      <c r="Z4" s="19">
        <f t="shared" si="0"/>
        <v>3</v>
      </c>
      <c r="AA4" s="11">
        <f t="shared" si="0"/>
        <v>3751.05</v>
      </c>
      <c r="AB4" s="12">
        <f t="shared" si="0"/>
        <v>0.15</v>
      </c>
      <c r="AC4" s="11">
        <f t="shared" si="0"/>
        <v>394.16</v>
      </c>
    </row>
    <row r="5" spans="1:29" ht="16.5" thickBot="1" x14ac:dyDescent="0.3">
      <c r="B5" s="20" t="s">
        <v>6</v>
      </c>
      <c r="C5" s="20"/>
      <c r="D5" s="20"/>
      <c r="E5" s="20"/>
      <c r="F5" s="28">
        <f>P23</f>
        <v>897.31509999999992</v>
      </c>
      <c r="H5" s="5" t="s">
        <v>44</v>
      </c>
      <c r="I5" s="29">
        <f>I3+I4</f>
        <v>8157.41</v>
      </c>
      <c r="J5" s="6"/>
      <c r="M5" s="13"/>
      <c r="N5" s="14">
        <v>4</v>
      </c>
      <c r="O5" s="15">
        <v>8475.5499999999993</v>
      </c>
      <c r="P5" s="16">
        <v>0.14000000000000001</v>
      </c>
      <c r="Q5" s="15">
        <v>576.98</v>
      </c>
      <c r="R5" s="17">
        <v>198.49</v>
      </c>
      <c r="S5" s="5">
        <f>H18+S1</f>
        <v>0</v>
      </c>
      <c r="T5" s="27"/>
      <c r="U5" s="27"/>
      <c r="V5" s="2">
        <f>V2+V3+V4</f>
        <v>0</v>
      </c>
      <c r="Y5" s="11"/>
      <c r="Z5" s="19">
        <f t="shared" si="0"/>
        <v>4</v>
      </c>
      <c r="AA5" s="11">
        <f t="shared" si="0"/>
        <v>4664.68</v>
      </c>
      <c r="AB5" s="12">
        <f t="shared" si="0"/>
        <v>0.22500000000000001</v>
      </c>
      <c r="AC5" s="11">
        <f t="shared" si="0"/>
        <v>675.49</v>
      </c>
    </row>
    <row r="6" spans="1:29" x14ac:dyDescent="0.25">
      <c r="B6" s="20" t="s">
        <v>45</v>
      </c>
      <c r="C6" s="20"/>
      <c r="D6" s="20"/>
      <c r="E6" s="20"/>
      <c r="F6" s="30">
        <f>Q23</f>
        <v>1087.7960974999999</v>
      </c>
      <c r="H6" s="6"/>
      <c r="J6" s="6"/>
      <c r="M6" s="13"/>
      <c r="N6" s="31"/>
      <c r="O6" s="32"/>
      <c r="P6" s="33"/>
      <c r="Q6" s="32">
        <v>988.09</v>
      </c>
      <c r="R6" s="17"/>
      <c r="S6" s="5">
        <f>H19+S2</f>
        <v>0</v>
      </c>
      <c r="Y6" s="11"/>
      <c r="Z6" s="19">
        <f t="shared" si="0"/>
        <v>5</v>
      </c>
      <c r="AA6" s="11">
        <f t="shared" si="0"/>
        <v>999999</v>
      </c>
      <c r="AB6" s="12">
        <f t="shared" si="0"/>
        <v>0.27500000000000002</v>
      </c>
      <c r="AC6" s="11">
        <f t="shared" si="0"/>
        <v>908.73</v>
      </c>
    </row>
    <row r="7" spans="1:29" ht="16.5" thickBot="1" x14ac:dyDescent="0.3">
      <c r="A7" s="34"/>
      <c r="H7" s="6"/>
      <c r="J7" s="6"/>
      <c r="M7" s="13"/>
      <c r="O7" s="32" t="s">
        <v>49</v>
      </c>
      <c r="P7" s="32"/>
      <c r="Q7" s="32"/>
      <c r="R7" s="17"/>
      <c r="S7" s="5">
        <f>H20+S3</f>
        <v>0</v>
      </c>
      <c r="Y7" s="32"/>
      <c r="Z7" s="32"/>
      <c r="AA7" s="32"/>
      <c r="AB7" s="33"/>
      <c r="AC7" s="32"/>
    </row>
    <row r="8" spans="1:29" ht="16.5" thickBot="1" x14ac:dyDescent="0.3">
      <c r="B8" s="5" t="s">
        <v>23</v>
      </c>
      <c r="F8" s="35">
        <f>F3-F5-F6</f>
        <v>6172.2988024999995</v>
      </c>
      <c r="H8" s="20" t="s">
        <v>18</v>
      </c>
      <c r="I8" s="15">
        <f>I3/220</f>
        <v>37.079136363636366</v>
      </c>
      <c r="J8" s="36"/>
      <c r="M8" s="13"/>
      <c r="O8" s="15">
        <v>1980.38</v>
      </c>
      <c r="P8" s="15">
        <v>67.540000000000006</v>
      </c>
      <c r="Q8" s="32"/>
      <c r="R8" s="17"/>
    </row>
    <row r="9" spans="1:29" x14ac:dyDescent="0.25">
      <c r="H9" s="6"/>
      <c r="M9" s="13"/>
      <c r="N9" s="32" t="s">
        <v>50</v>
      </c>
      <c r="O9" s="32"/>
      <c r="P9" s="33"/>
      <c r="Q9" s="32"/>
      <c r="R9" s="17"/>
      <c r="Y9" s="32"/>
      <c r="Z9" s="32"/>
      <c r="AA9" s="32"/>
      <c r="AB9" s="33"/>
      <c r="AC9" s="32"/>
    </row>
    <row r="10" spans="1:29" x14ac:dyDescent="0.25">
      <c r="G10" s="37"/>
      <c r="H10" s="38" t="s">
        <v>7</v>
      </c>
      <c r="I10" s="39">
        <f>P21*8%</f>
        <v>652.5927999999999</v>
      </c>
      <c r="M10" s="13"/>
      <c r="N10" s="109"/>
      <c r="O10" s="110">
        <v>189.59</v>
      </c>
      <c r="P10" s="111" t="s">
        <v>10</v>
      </c>
      <c r="Q10" s="112">
        <v>607.20000000000005</v>
      </c>
      <c r="R10" s="123">
        <v>0.13314500000000001</v>
      </c>
      <c r="AB10" s="33"/>
      <c r="AC10" s="32"/>
    </row>
    <row r="11" spans="1:29" x14ac:dyDescent="0.25">
      <c r="M11" s="13"/>
      <c r="N11" s="113"/>
      <c r="O11" s="114"/>
      <c r="P11" s="115"/>
      <c r="Q11" s="114"/>
      <c r="R11" s="124">
        <v>978.62</v>
      </c>
      <c r="AB11" s="33"/>
      <c r="AC11" s="32"/>
    </row>
    <row r="12" spans="1:29" x14ac:dyDescent="0.25">
      <c r="G12" s="61"/>
      <c r="H12" s="61"/>
      <c r="I12" s="61"/>
      <c r="J12" s="61"/>
      <c r="M12" s="13"/>
      <c r="N12" s="69" t="s">
        <v>12</v>
      </c>
      <c r="O12" s="69"/>
      <c r="P12" s="116"/>
      <c r="Q12" s="69"/>
      <c r="R12" s="125"/>
      <c r="Y12" s="32"/>
      <c r="Z12" s="31"/>
      <c r="AA12" s="32"/>
      <c r="AB12" s="33"/>
      <c r="AC12" s="32"/>
    </row>
    <row r="13" spans="1:29" x14ac:dyDescent="0.25">
      <c r="G13" s="61"/>
      <c r="H13" s="61" t="s">
        <v>19</v>
      </c>
      <c r="I13" s="61"/>
      <c r="J13" s="61"/>
      <c r="M13" s="13"/>
      <c r="N13" s="117">
        <v>1</v>
      </c>
      <c r="O13" s="118">
        <v>2428.8000000000002</v>
      </c>
      <c r="P13" s="119">
        <v>0</v>
      </c>
      <c r="Q13" s="118">
        <v>0</v>
      </c>
      <c r="R13" s="125">
        <f>Q21*R10</f>
        <v>1086.11835445</v>
      </c>
      <c r="Y13" s="32"/>
      <c r="Z13" s="31"/>
      <c r="AA13" s="32"/>
      <c r="AB13" s="33"/>
      <c r="AC13" s="32"/>
    </row>
    <row r="14" spans="1:29" x14ac:dyDescent="0.25">
      <c r="G14" s="61"/>
      <c r="H14" s="62">
        <v>26</v>
      </c>
      <c r="I14" s="61"/>
      <c r="J14" s="61"/>
      <c r="M14" s="13"/>
      <c r="N14" s="117">
        <v>2</v>
      </c>
      <c r="O14" s="118">
        <v>2826.65</v>
      </c>
      <c r="P14" s="119">
        <v>7.4999999999999997E-2</v>
      </c>
      <c r="Q14" s="118">
        <v>182.16</v>
      </c>
      <c r="R14" s="125">
        <f>IF(Q22&lt;Y29,R11-R13,0)</f>
        <v>-107.49835444999997</v>
      </c>
    </row>
    <row r="15" spans="1:29" x14ac:dyDescent="0.25">
      <c r="G15" s="61"/>
      <c r="H15" s="62">
        <v>5</v>
      </c>
      <c r="I15" s="61"/>
      <c r="J15" s="61"/>
      <c r="M15" s="13"/>
      <c r="N15" s="117">
        <v>3</v>
      </c>
      <c r="O15" s="118">
        <v>3751.05</v>
      </c>
      <c r="P15" s="119">
        <v>0.15</v>
      </c>
      <c r="Q15" s="118">
        <v>394.16</v>
      </c>
      <c r="R15" s="17">
        <f>Q35</f>
        <v>1087.7960974999999</v>
      </c>
    </row>
    <row r="16" spans="1:29" x14ac:dyDescent="0.25">
      <c r="G16" s="61"/>
      <c r="H16" s="61"/>
      <c r="I16" s="61"/>
      <c r="J16" s="61"/>
      <c r="M16" s="13"/>
      <c r="N16" s="117">
        <v>4</v>
      </c>
      <c r="O16" s="118">
        <v>4664.68</v>
      </c>
      <c r="P16" s="119">
        <v>0.22500000000000001</v>
      </c>
      <c r="Q16" s="118">
        <v>675.49</v>
      </c>
      <c r="R16" s="17">
        <f>R15-R14</f>
        <v>1195.2944519499997</v>
      </c>
    </row>
    <row r="17" spans="7:25" x14ac:dyDescent="0.25">
      <c r="G17" s="61"/>
      <c r="H17" s="61" t="s">
        <v>21</v>
      </c>
      <c r="I17" s="61" t="s">
        <v>20</v>
      </c>
      <c r="J17" s="61"/>
      <c r="M17" s="13"/>
      <c r="N17" s="117">
        <v>5</v>
      </c>
      <c r="O17" s="118">
        <v>999999</v>
      </c>
      <c r="P17" s="120">
        <v>0.27500000000000002</v>
      </c>
      <c r="Q17" s="118">
        <v>908.73</v>
      </c>
      <c r="R17" s="17">
        <f>IF(R16&lt;10,0,R16)</f>
        <v>1195.2944519499997</v>
      </c>
    </row>
    <row r="18" spans="7:25" ht="16.5" thickBot="1" x14ac:dyDescent="0.3">
      <c r="G18" s="63">
        <v>0.5</v>
      </c>
      <c r="H18" s="61"/>
      <c r="I18" s="61"/>
      <c r="J18" s="61"/>
      <c r="M18" s="46"/>
      <c r="N18" s="47"/>
      <c r="O18" s="47"/>
      <c r="P18" s="48"/>
      <c r="Q18" s="47"/>
      <c r="R18" s="49"/>
    </row>
    <row r="19" spans="7:25" ht="16.5" thickBot="1" x14ac:dyDescent="0.3">
      <c r="G19" s="63">
        <v>1</v>
      </c>
      <c r="H19" s="61"/>
      <c r="I19" s="61"/>
      <c r="J19" s="61"/>
    </row>
    <row r="20" spans="7:25" x14ac:dyDescent="0.25">
      <c r="G20" s="61" t="s">
        <v>17</v>
      </c>
      <c r="H20" s="61"/>
      <c r="I20" s="61"/>
      <c r="J20" s="61"/>
      <c r="O20" s="7" t="s">
        <v>0</v>
      </c>
      <c r="P20" s="8" t="s">
        <v>1</v>
      </c>
      <c r="Q20" s="10" t="s">
        <v>2</v>
      </c>
    </row>
    <row r="21" spans="7:25" x14ac:dyDescent="0.25">
      <c r="H21" s="6"/>
      <c r="O21" s="13">
        <f>V5+F4+Q27</f>
        <v>8157.4099999999989</v>
      </c>
      <c r="P21" s="32">
        <f>O21</f>
        <v>8157.4099999999989</v>
      </c>
      <c r="Q21" s="50">
        <f>P21</f>
        <v>8157.4099999999989</v>
      </c>
    </row>
    <row r="22" spans="7:25" x14ac:dyDescent="0.25">
      <c r="H22" s="6"/>
      <c r="O22" s="13">
        <v>7087.22</v>
      </c>
      <c r="P22" s="51">
        <f>O21*11%</f>
        <v>897.31509999999992</v>
      </c>
      <c r="Q22" s="17">
        <f>Q21-P22-P24</f>
        <v>7260.0948999999991</v>
      </c>
    </row>
    <row r="23" spans="7:25" ht="16.5" thickBot="1" x14ac:dyDescent="0.3">
      <c r="O23" s="52"/>
      <c r="P23" s="53">
        <f>IF(P22&gt;$Q$6,$Q$6,P22)</f>
        <v>897.31509999999992</v>
      </c>
      <c r="Q23" s="54">
        <f>IF(Q35&gt;Q34,Q34,Q35)</f>
        <v>1087.7960974999999</v>
      </c>
    </row>
    <row r="24" spans="7:25" x14ac:dyDescent="0.25">
      <c r="O24" s="55" t="s">
        <v>3</v>
      </c>
      <c r="P24" s="56">
        <f>N10*O10</f>
        <v>0</v>
      </c>
      <c r="Q24" s="55"/>
    </row>
    <row r="26" spans="7:25" x14ac:dyDescent="0.25">
      <c r="R26" s="57"/>
    </row>
    <row r="27" spans="7:25" s="3" customFormat="1" hidden="1" x14ac:dyDescent="0.25">
      <c r="Q27" s="58"/>
      <c r="R27" s="58"/>
    </row>
    <row r="28" spans="7:25" hidden="1" x14ac:dyDescent="0.25"/>
    <row r="29" spans="7:25" x14ac:dyDescent="0.25">
      <c r="O29" s="20" t="s">
        <v>11</v>
      </c>
      <c r="P29" s="59">
        <f>Q29*S5</f>
        <v>0</v>
      </c>
      <c r="Q29" s="60">
        <f>(I8*50%)+I8</f>
        <v>55.618704545454548</v>
      </c>
      <c r="X29" s="5" t="s">
        <v>43</v>
      </c>
      <c r="Y29" s="42">
        <v>7350</v>
      </c>
    </row>
    <row r="30" spans="7:25" x14ac:dyDescent="0.25">
      <c r="O30" s="20" t="s">
        <v>13</v>
      </c>
      <c r="P30" s="59">
        <f>Q30*S6</f>
        <v>0</v>
      </c>
      <c r="Q30" s="60">
        <f>(I8*100%)+I8</f>
        <v>74.158272727272731</v>
      </c>
    </row>
    <row r="31" spans="7:25" x14ac:dyDescent="0.25">
      <c r="O31" s="20" t="s">
        <v>14</v>
      </c>
      <c r="P31" s="59">
        <f>((P29+P30)/H14)*H15</f>
        <v>0</v>
      </c>
      <c r="Q31" s="20"/>
    </row>
    <row r="32" spans="7:25" x14ac:dyDescent="0.25">
      <c r="O32" s="20" t="s">
        <v>17</v>
      </c>
      <c r="P32" s="59">
        <f>Q32*S7</f>
        <v>0</v>
      </c>
      <c r="Q32" s="60">
        <f>(I8*20%)</f>
        <v>7.4158272727272738</v>
      </c>
    </row>
    <row r="34" spans="15:17" x14ac:dyDescent="0.25">
      <c r="O34" s="25">
        <f>Q21-564.8</f>
        <v>7592.6099999999988</v>
      </c>
      <c r="P34" s="31"/>
      <c r="Q34" s="15">
        <f>IF(O34&lt;AA2,0,IF(O34&lt;AA3,O34*AB3-AC3,IF(O34&lt;AA4,O34*AB4-AC4,IF(O34&lt;AA5,O34*AB5-AC5,O34*AB6-AC6))))</f>
        <v>1179.2377499999998</v>
      </c>
    </row>
    <row r="35" spans="15:17" x14ac:dyDescent="0.25">
      <c r="O35" s="32"/>
      <c r="P35" s="31"/>
      <c r="Q35" s="15">
        <f>IF(Q22&gt;AA6,Q22*AB6-AC6,IF(Q22&gt;AA5,Q22*AB6-AC6,IF(Q22&gt;AA4,Q22*AB5-AC5,IF(Q22&gt;AA3,Q22*AB4-AC4,IF(Q22&gt;AA2,Q22*AB3-AC3,0)))))</f>
        <v>1087.7960974999999</v>
      </c>
    </row>
  </sheetData>
  <protectedRanges>
    <protectedRange sqref="I5 I3 D3:E3" name="Intervalo1"/>
    <protectedRange sqref="N10" name="Intervalo1_1_2"/>
  </protectedRanges>
  <dataValidations count="1">
    <dataValidation type="whole" allowBlank="1" showInputMessage="1" showErrorMessage="1" sqref="N10" xr:uid="{53D7FD41-9E76-4A67-9C3F-72EAA167557C}">
      <formula1>1</formula1>
      <formula2>5</formula2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573B-6AA5-43F5-975D-979DE841B23C}">
  <dimension ref="A1:AC35"/>
  <sheetViews>
    <sheetView topLeftCell="B1" workbookViewId="0">
      <selection activeCell="I3" sqref="I3"/>
    </sheetView>
  </sheetViews>
  <sheetFormatPr defaultRowHeight="15.75" x14ac:dyDescent="0.25"/>
  <cols>
    <col min="1" max="1" width="13.28515625" style="5" hidden="1" customWidth="1"/>
    <col min="2" max="2" width="11.140625" style="5" customWidth="1"/>
    <col min="3" max="3" width="4.7109375" style="5" customWidth="1"/>
    <col min="4" max="5" width="3.28515625" style="5" bestFit="1" customWidth="1"/>
    <col min="6" max="6" width="13" style="5" customWidth="1"/>
    <col min="7" max="7" width="14.28515625" style="5" bestFit="1" customWidth="1"/>
    <col min="8" max="8" width="17.5703125" style="5" bestFit="1" customWidth="1"/>
    <col min="9" max="9" width="11.5703125" style="5" bestFit="1" customWidth="1"/>
    <col min="10" max="10" width="9.42578125" style="5" bestFit="1" customWidth="1"/>
    <col min="11" max="11" width="4.5703125" style="5" customWidth="1"/>
    <col min="12" max="12" width="7.28515625" style="5" bestFit="1" customWidth="1"/>
    <col min="13" max="13" width="2.28515625" style="5" customWidth="1"/>
    <col min="14" max="14" width="6.28515625" style="5" customWidth="1"/>
    <col min="15" max="15" width="18.85546875" style="5" bestFit="1" customWidth="1"/>
    <col min="16" max="16" width="13.7109375" style="5" bestFit="1" customWidth="1"/>
    <col min="17" max="17" width="13.140625" style="5" bestFit="1" customWidth="1"/>
    <col min="18" max="18" width="8.7109375" style="5" bestFit="1" customWidth="1"/>
    <col min="19" max="19" width="9.28515625" style="5" hidden="1" customWidth="1"/>
    <col min="20" max="22" width="0" style="5" hidden="1" customWidth="1"/>
    <col min="23" max="23" width="9.140625" style="5"/>
    <col min="24" max="24" width="25.140625" style="5" customWidth="1"/>
    <col min="25" max="25" width="10" style="5" bestFit="1" customWidth="1"/>
    <col min="26" max="26" width="10.42578125" style="5" bestFit="1" customWidth="1"/>
    <col min="27" max="27" width="12.42578125" style="107" customWidth="1"/>
    <col min="28" max="28" width="12.7109375" style="107" customWidth="1"/>
    <col min="29" max="29" width="10.42578125" style="107" bestFit="1" customWidth="1"/>
    <col min="30" max="16384" width="9.140625" style="5"/>
  </cols>
  <sheetData>
    <row r="1" spans="1:29" x14ac:dyDescent="0.25">
      <c r="H1" s="6"/>
      <c r="I1" s="6"/>
      <c r="J1" s="6"/>
      <c r="M1" s="7"/>
      <c r="N1" s="8" t="s">
        <v>4</v>
      </c>
      <c r="O1" s="8"/>
      <c r="P1" s="9"/>
      <c r="Q1" s="8" t="s">
        <v>5</v>
      </c>
      <c r="R1" s="10"/>
      <c r="S1" s="5">
        <f>I18/60</f>
        <v>0</v>
      </c>
      <c r="T1" s="3"/>
      <c r="U1" s="4"/>
      <c r="V1" s="4"/>
      <c r="Y1" s="11"/>
      <c r="Z1" s="11" t="s">
        <v>12</v>
      </c>
      <c r="AA1" s="105"/>
      <c r="AB1" s="106"/>
      <c r="AC1" s="105"/>
    </row>
    <row r="2" spans="1:29" ht="16.5" thickBot="1" x14ac:dyDescent="0.3">
      <c r="H2" s="6"/>
      <c r="J2" s="6"/>
      <c r="M2" s="13"/>
      <c r="N2" s="14">
        <v>1</v>
      </c>
      <c r="O2" s="15">
        <v>1518</v>
      </c>
      <c r="P2" s="16">
        <v>7.4999999999999997E-2</v>
      </c>
      <c r="Q2" s="15">
        <f>O2*P2</f>
        <v>113.85</v>
      </c>
      <c r="R2" s="17">
        <v>0</v>
      </c>
      <c r="S2" s="5">
        <f>I19/60</f>
        <v>0</v>
      </c>
      <c r="T2" s="1">
        <v>0</v>
      </c>
      <c r="U2" s="1">
        <v>31</v>
      </c>
      <c r="V2" s="18">
        <f>(I5/U2)*T2</f>
        <v>0</v>
      </c>
      <c r="AA2" s="105">
        <f t="shared" ref="AA2:AC6" si="0">O13</f>
        <v>2259.1999999999998</v>
      </c>
      <c r="AB2" s="106">
        <f t="shared" si="0"/>
        <v>0</v>
      </c>
      <c r="AC2" s="105">
        <f t="shared" si="0"/>
        <v>0</v>
      </c>
    </row>
    <row r="3" spans="1:29" x14ac:dyDescent="0.25">
      <c r="B3" s="20" t="s">
        <v>22</v>
      </c>
      <c r="C3" s="20"/>
      <c r="D3" s="21">
        <v>30</v>
      </c>
      <c r="E3" s="21">
        <v>30</v>
      </c>
      <c r="F3" s="22">
        <f>(I5/E3)*D3</f>
        <v>3090.77</v>
      </c>
      <c r="H3" s="6" t="s">
        <v>15</v>
      </c>
      <c r="I3" s="23">
        <v>3090.77</v>
      </c>
      <c r="J3" s="6"/>
      <c r="M3" s="13"/>
      <c r="N3" s="14">
        <v>2</v>
      </c>
      <c r="O3" s="15">
        <v>2793.88</v>
      </c>
      <c r="P3" s="16">
        <v>0.09</v>
      </c>
      <c r="Q3" s="15">
        <f>(O3-O2)*P3</f>
        <v>114.8292</v>
      </c>
      <c r="R3" s="17">
        <v>22.77</v>
      </c>
      <c r="S3" s="5">
        <f>I20/60</f>
        <v>0</v>
      </c>
      <c r="T3" s="1">
        <f>T2</f>
        <v>0</v>
      </c>
      <c r="U3" s="1">
        <f>U2</f>
        <v>31</v>
      </c>
      <c r="V3" s="18">
        <f>(A3/U3)*T3</f>
        <v>0</v>
      </c>
      <c r="AA3" s="105">
        <f t="shared" si="0"/>
        <v>2826.65</v>
      </c>
      <c r="AB3" s="106">
        <f t="shared" si="0"/>
        <v>7.4999999999999997E-2</v>
      </c>
      <c r="AC3" s="105">
        <f t="shared" si="0"/>
        <v>169.44</v>
      </c>
    </row>
    <row r="4" spans="1:29" ht="16.5" thickBot="1" x14ac:dyDescent="0.3">
      <c r="F4" s="24">
        <f>F3</f>
        <v>3090.77</v>
      </c>
      <c r="H4" s="6" t="s">
        <v>16</v>
      </c>
      <c r="I4" s="25">
        <f>P29+P30+P31+P32</f>
        <v>0</v>
      </c>
      <c r="J4" s="6"/>
      <c r="M4" s="13"/>
      <c r="N4" s="14">
        <v>3</v>
      </c>
      <c r="O4" s="15">
        <v>4190.83</v>
      </c>
      <c r="P4" s="16">
        <v>0.12</v>
      </c>
      <c r="Q4" s="15">
        <f>(O4-O3)*P4</f>
        <v>167.63399999999999</v>
      </c>
      <c r="R4" s="17">
        <v>106.59</v>
      </c>
      <c r="T4" s="26">
        <v>0.33333299999999999</v>
      </c>
      <c r="U4" s="27"/>
      <c r="V4" s="18">
        <f>(V2+V3)*T4</f>
        <v>0</v>
      </c>
      <c r="Y4" s="11"/>
      <c r="Z4" s="19">
        <f t="shared" ref="Z4:Z6" si="1">N15</f>
        <v>3</v>
      </c>
      <c r="AA4" s="105">
        <f t="shared" si="0"/>
        <v>3751.05</v>
      </c>
      <c r="AB4" s="106">
        <f t="shared" si="0"/>
        <v>0.15</v>
      </c>
      <c r="AC4" s="105">
        <f t="shared" si="0"/>
        <v>381.44</v>
      </c>
    </row>
    <row r="5" spans="1:29" ht="16.5" thickBot="1" x14ac:dyDescent="0.3">
      <c r="B5" s="20" t="s">
        <v>6</v>
      </c>
      <c r="C5" s="20"/>
      <c r="D5" s="20"/>
      <c r="E5" s="20"/>
      <c r="F5" s="28">
        <f>P23</f>
        <v>264.30599999999998</v>
      </c>
      <c r="H5" s="5" t="s">
        <v>44</v>
      </c>
      <c r="I5" s="29">
        <f>I3+I4</f>
        <v>3090.77</v>
      </c>
      <c r="J5" s="6"/>
      <c r="M5" s="13"/>
      <c r="N5" s="14">
        <v>4</v>
      </c>
      <c r="O5" s="15">
        <v>8157.41</v>
      </c>
      <c r="P5" s="16">
        <v>0.14000000000000001</v>
      </c>
      <c r="Q5" s="15">
        <f>(O5-O4)*P5</f>
        <v>555.32120000000009</v>
      </c>
      <c r="R5" s="17">
        <v>190.4</v>
      </c>
      <c r="S5" s="5">
        <f>H18+S1</f>
        <v>0</v>
      </c>
      <c r="T5" s="27"/>
      <c r="U5" s="27"/>
      <c r="V5" s="2">
        <f>V2+V3+V4</f>
        <v>0</v>
      </c>
      <c r="Y5" s="11"/>
      <c r="Z5" s="19">
        <f t="shared" si="1"/>
        <v>4</v>
      </c>
      <c r="AA5" s="105">
        <f t="shared" si="0"/>
        <v>4664.68</v>
      </c>
      <c r="AB5" s="106">
        <f t="shared" si="0"/>
        <v>0.22500000000000001</v>
      </c>
      <c r="AC5" s="105">
        <f t="shared" si="0"/>
        <v>662.77</v>
      </c>
    </row>
    <row r="6" spans="1:29" x14ac:dyDescent="0.25">
      <c r="B6" s="20" t="s">
        <v>45</v>
      </c>
      <c r="C6" s="20"/>
      <c r="D6" s="20"/>
      <c r="E6" s="20"/>
      <c r="F6" s="30">
        <f>Q23</f>
        <v>20.007750000000016</v>
      </c>
      <c r="H6" s="6"/>
      <c r="J6" s="6"/>
      <c r="M6" s="13"/>
      <c r="N6" s="31"/>
      <c r="O6" s="32"/>
      <c r="P6" s="33"/>
      <c r="Q6" s="32">
        <f>SUM(Q2:Q5)</f>
        <v>951.63440000000003</v>
      </c>
      <c r="R6" s="17"/>
      <c r="S6" s="5">
        <f>H19+S2</f>
        <v>0</v>
      </c>
      <c r="Y6" s="11"/>
      <c r="Z6" s="19">
        <f t="shared" si="1"/>
        <v>5</v>
      </c>
      <c r="AA6" s="105">
        <f t="shared" si="0"/>
        <v>999999</v>
      </c>
      <c r="AB6" s="106">
        <f t="shared" si="0"/>
        <v>0.27500000000000002</v>
      </c>
      <c r="AC6" s="105">
        <f t="shared" si="0"/>
        <v>896</v>
      </c>
    </row>
    <row r="7" spans="1:29" ht="16.5" thickBot="1" x14ac:dyDescent="0.3">
      <c r="A7" s="34"/>
      <c r="H7" s="6"/>
      <c r="J7" s="6"/>
      <c r="M7" s="13"/>
      <c r="O7" s="32" t="s">
        <v>8</v>
      </c>
      <c r="P7" s="32"/>
      <c r="Q7" s="32"/>
      <c r="R7" s="17"/>
      <c r="S7" s="5">
        <f>H20+S3</f>
        <v>0</v>
      </c>
      <c r="Y7" s="32"/>
      <c r="Z7" s="32"/>
      <c r="AA7" s="105"/>
      <c r="AB7" s="106"/>
      <c r="AC7" s="105"/>
    </row>
    <row r="8" spans="1:29" ht="16.5" thickBot="1" x14ac:dyDescent="0.3">
      <c r="B8" s="5" t="s">
        <v>23</v>
      </c>
      <c r="F8" s="35">
        <f>F3-F5-F6</f>
        <v>2806.4562499999997</v>
      </c>
      <c r="H8" s="20" t="s">
        <v>18</v>
      </c>
      <c r="I8" s="15">
        <f>I3/220</f>
        <v>14.048954545454546</v>
      </c>
      <c r="J8" s="36"/>
      <c r="M8" s="13"/>
      <c r="O8" s="15">
        <v>1906.04</v>
      </c>
      <c r="P8" s="15">
        <v>65</v>
      </c>
      <c r="Q8" s="32"/>
      <c r="R8" s="17"/>
    </row>
    <row r="9" spans="1:29" x14ac:dyDescent="0.25">
      <c r="F9" s="25">
        <f>F8+F6</f>
        <v>2826.4639999999999</v>
      </c>
      <c r="H9" s="6"/>
      <c r="M9" s="13"/>
      <c r="N9" s="32"/>
      <c r="O9" s="32"/>
      <c r="P9" s="33"/>
      <c r="Q9" s="32"/>
      <c r="R9" s="17"/>
      <c r="Y9" s="32"/>
      <c r="Z9" s="32"/>
      <c r="AA9" s="105"/>
      <c r="AB9" s="106"/>
      <c r="AC9" s="105"/>
    </row>
    <row r="10" spans="1:29" x14ac:dyDescent="0.25">
      <c r="G10" s="37"/>
      <c r="H10" s="38" t="s">
        <v>7</v>
      </c>
      <c r="I10" s="39">
        <f>P21*8%</f>
        <v>247.26160000000002</v>
      </c>
      <c r="M10" s="13"/>
      <c r="N10" s="40"/>
      <c r="O10" s="20">
        <v>189.59</v>
      </c>
      <c r="P10" s="41" t="s">
        <v>10</v>
      </c>
      <c r="Q10" s="64">
        <v>564.79999999999995</v>
      </c>
      <c r="R10" s="17"/>
      <c r="AB10" s="106"/>
      <c r="AC10" s="105"/>
    </row>
    <row r="11" spans="1:29" x14ac:dyDescent="0.25">
      <c r="M11" s="13"/>
      <c r="O11" s="32"/>
      <c r="P11" s="33"/>
      <c r="Q11" s="32"/>
      <c r="R11" s="17"/>
      <c r="AB11" s="106"/>
      <c r="AC11" s="105"/>
    </row>
    <row r="12" spans="1:29" x14ac:dyDescent="0.25">
      <c r="M12" s="13"/>
      <c r="N12" s="32" t="s">
        <v>12</v>
      </c>
      <c r="O12" s="32"/>
      <c r="P12" s="33"/>
      <c r="Q12" s="32"/>
      <c r="R12" s="17"/>
      <c r="Y12" s="32"/>
      <c r="Z12" s="31"/>
      <c r="AA12" s="105"/>
      <c r="AB12" s="106"/>
      <c r="AC12" s="105"/>
    </row>
    <row r="13" spans="1:29" x14ac:dyDescent="0.25">
      <c r="H13" s="5" t="s">
        <v>19</v>
      </c>
      <c r="M13" s="13"/>
      <c r="N13" s="14">
        <v>1</v>
      </c>
      <c r="O13" s="15">
        <v>2259.1999999999998</v>
      </c>
      <c r="P13" s="16">
        <v>0</v>
      </c>
      <c r="Q13" s="15">
        <v>0</v>
      </c>
      <c r="R13" s="17"/>
      <c r="Y13" s="32"/>
      <c r="Z13" s="31"/>
      <c r="AA13" s="105"/>
      <c r="AB13" s="106"/>
      <c r="AC13" s="105"/>
    </row>
    <row r="14" spans="1:29" x14ac:dyDescent="0.25">
      <c r="H14" s="42">
        <v>24</v>
      </c>
      <c r="M14" s="13"/>
      <c r="N14" s="14">
        <v>2</v>
      </c>
      <c r="O14" s="15">
        <v>2826.65</v>
      </c>
      <c r="P14" s="16">
        <v>7.4999999999999997E-2</v>
      </c>
      <c r="Q14" s="15">
        <v>169.44</v>
      </c>
      <c r="R14" s="17"/>
    </row>
    <row r="15" spans="1:29" x14ac:dyDescent="0.25">
      <c r="H15" s="42">
        <v>6</v>
      </c>
      <c r="M15" s="13"/>
      <c r="N15" s="14">
        <v>3</v>
      </c>
      <c r="O15" s="15">
        <v>3751.05</v>
      </c>
      <c r="P15" s="16">
        <v>0.15</v>
      </c>
      <c r="Q15" s="15">
        <v>381.44</v>
      </c>
      <c r="R15" s="17"/>
    </row>
    <row r="16" spans="1:29" x14ac:dyDescent="0.25">
      <c r="M16" s="13"/>
      <c r="N16" s="14">
        <v>4</v>
      </c>
      <c r="O16" s="15">
        <v>4664.68</v>
      </c>
      <c r="P16" s="16">
        <v>0.22500000000000001</v>
      </c>
      <c r="Q16" s="15">
        <v>662.77</v>
      </c>
      <c r="R16" s="17"/>
    </row>
    <row r="17" spans="7:29" x14ac:dyDescent="0.25">
      <c r="H17" s="5" t="s">
        <v>21</v>
      </c>
      <c r="I17" s="5" t="s">
        <v>20</v>
      </c>
      <c r="M17" s="13"/>
      <c r="N17" s="14">
        <v>5</v>
      </c>
      <c r="O17" s="15">
        <v>999999</v>
      </c>
      <c r="P17" s="43">
        <v>0.27500000000000002</v>
      </c>
      <c r="Q17" s="15">
        <v>896</v>
      </c>
      <c r="R17" s="17"/>
      <c r="X17" s="5" t="s">
        <v>38</v>
      </c>
      <c r="Y17" s="11"/>
      <c r="Z17" s="105">
        <v>2057.59</v>
      </c>
      <c r="AA17" s="105">
        <v>6.08</v>
      </c>
      <c r="AB17" s="106">
        <f>P13</f>
        <v>0</v>
      </c>
      <c r="AC17" s="105">
        <v>1927.02</v>
      </c>
    </row>
    <row r="18" spans="7:29" ht="16.5" thickBot="1" x14ac:dyDescent="0.3">
      <c r="G18" s="44">
        <v>0.5</v>
      </c>
      <c r="H18" s="45"/>
      <c r="I18" s="45"/>
      <c r="M18" s="46"/>
      <c r="N18" s="47"/>
      <c r="O18" s="47"/>
      <c r="P18" s="48"/>
      <c r="Q18" s="47"/>
      <c r="R18" s="49"/>
      <c r="X18" s="5" t="s">
        <v>37</v>
      </c>
      <c r="Y18" s="11"/>
      <c r="Z18" s="105">
        <v>1984.16</v>
      </c>
      <c r="AA18" s="105">
        <v>6.85</v>
      </c>
      <c r="AB18" s="106">
        <f>P14</f>
        <v>7.4999999999999997E-2</v>
      </c>
      <c r="AC18" s="105">
        <v>1856.94</v>
      </c>
    </row>
    <row r="19" spans="7:29" ht="16.5" thickBot="1" x14ac:dyDescent="0.3">
      <c r="G19" s="44">
        <v>1</v>
      </c>
      <c r="H19" s="45"/>
      <c r="I19" s="45"/>
    </row>
    <row r="20" spans="7:29" x14ac:dyDescent="0.25">
      <c r="G20" s="5" t="s">
        <v>17</v>
      </c>
      <c r="H20" s="45"/>
      <c r="I20" s="45"/>
      <c r="O20" s="7" t="s">
        <v>0</v>
      </c>
      <c r="P20" s="8" t="s">
        <v>1</v>
      </c>
      <c r="Q20" s="10" t="s">
        <v>2</v>
      </c>
    </row>
    <row r="21" spans="7:29" x14ac:dyDescent="0.25">
      <c r="H21" s="6"/>
      <c r="O21" s="13">
        <f>V5+F4+Q27</f>
        <v>3090.77</v>
      </c>
      <c r="P21" s="32">
        <f>O21</f>
        <v>3090.77</v>
      </c>
      <c r="Q21" s="50">
        <f>P21</f>
        <v>3090.77</v>
      </c>
    </row>
    <row r="22" spans="7:29" x14ac:dyDescent="0.25">
      <c r="H22" s="6"/>
      <c r="O22" s="13">
        <v>7087.22</v>
      </c>
      <c r="P22" s="51">
        <f>IF(O21&gt;O5,Q6,IF(O21&gt;O4,(O21-O4)*P5+Q4+Q3+Q2,IF(O21&gt;O3,(O21-O3)*P4+Q3+Q2,IF(O21&gt;O2,(O21-O2)*P3+Q2,O21*P2))))</f>
        <v>264.30599999999998</v>
      </c>
      <c r="Q22" s="17">
        <f>Q21-P22-P24</f>
        <v>2826.4639999999999</v>
      </c>
    </row>
    <row r="23" spans="7:29" ht="16.5" thickBot="1" x14ac:dyDescent="0.3">
      <c r="O23" s="52"/>
      <c r="P23" s="53">
        <f>IF(P22&gt;$Q$6,$Q$6,P22)</f>
        <v>264.30599999999998</v>
      </c>
      <c r="Q23" s="54">
        <f>IF(Q35&gt;Q34,Q34,Q35)</f>
        <v>20.007750000000016</v>
      </c>
    </row>
    <row r="24" spans="7:29" x14ac:dyDescent="0.25">
      <c r="O24" s="55" t="s">
        <v>3</v>
      </c>
      <c r="P24" s="56">
        <f>N10*O10</f>
        <v>0</v>
      </c>
      <c r="Q24" s="55"/>
    </row>
    <row r="26" spans="7:29" x14ac:dyDescent="0.25">
      <c r="R26" s="57"/>
    </row>
    <row r="27" spans="7:29" s="3" customFormat="1" hidden="1" x14ac:dyDescent="0.25">
      <c r="Q27" s="58"/>
      <c r="R27" s="58"/>
      <c r="AA27" s="108"/>
      <c r="AB27" s="108"/>
      <c r="AC27" s="108"/>
    </row>
    <row r="28" spans="7:29" hidden="1" x14ac:dyDescent="0.25"/>
    <row r="29" spans="7:29" x14ac:dyDescent="0.25">
      <c r="O29" s="20" t="s">
        <v>11</v>
      </c>
      <c r="P29" s="59">
        <f>Q29*S5</f>
        <v>0</v>
      </c>
      <c r="Q29" s="60">
        <f>(I8*50%)+I8</f>
        <v>21.073431818181817</v>
      </c>
    </row>
    <row r="30" spans="7:29" x14ac:dyDescent="0.25">
      <c r="O30" s="20" t="s">
        <v>13</v>
      </c>
      <c r="P30" s="59">
        <f>Q30*S6</f>
        <v>0</v>
      </c>
      <c r="Q30" s="60">
        <f>(I8*100%)+I8</f>
        <v>28.097909090909091</v>
      </c>
    </row>
    <row r="31" spans="7:29" x14ac:dyDescent="0.25">
      <c r="O31" s="20" t="s">
        <v>14</v>
      </c>
      <c r="P31" s="59">
        <f>((P29+P30)/H14)*H15</f>
        <v>0</v>
      </c>
      <c r="Q31" s="20"/>
    </row>
    <row r="32" spans="7:29" x14ac:dyDescent="0.25">
      <c r="O32" s="20" t="s">
        <v>17</v>
      </c>
      <c r="P32" s="59">
        <f>Q32*S7</f>
        <v>0</v>
      </c>
      <c r="Q32" s="60">
        <f>(I8*20%)</f>
        <v>2.8097909090909092</v>
      </c>
    </row>
    <row r="34" spans="15:17" x14ac:dyDescent="0.25">
      <c r="O34" s="25">
        <f>Q21-564.8</f>
        <v>2525.9700000000003</v>
      </c>
      <c r="P34" s="31"/>
      <c r="Q34" s="15">
        <f>IF(O34&lt;AA2,0,IF(O34&lt;AA3,O34*AB3-AC3,IF(O34&lt;AA4,O34*AB4-AC4,IF(O34&lt;AA5,O34*AB5-AC5,O34*AB6-AC6))))</f>
        <v>20.007750000000016</v>
      </c>
    </row>
    <row r="35" spans="15:17" x14ac:dyDescent="0.25">
      <c r="O35" s="32"/>
      <c r="P35" s="31"/>
      <c r="Q35" s="15">
        <f>IF(Q22&gt;AA6,Q22*AB6-AC6,IF(Q22&gt;AA5,Q22*AB6-AC6,IF(Q22&gt;AA4,Q22*AB5-AC5,IF(Q22&gt;AA3,Q22*AB4-AC4,IF(Q22&gt;AA2,Q22*AB3-AC3,0)))))</f>
        <v>42.544799999999981</v>
      </c>
    </row>
  </sheetData>
  <protectedRanges>
    <protectedRange sqref="H21 D3:E3 I3 H14:H15 H18:I20" name="Intervalo1"/>
    <protectedRange sqref="N10" name="Intervalo1_1"/>
  </protectedRanges>
  <dataValidations count="1">
    <dataValidation type="whole" allowBlank="1" showInputMessage="1" showErrorMessage="1" sqref="N10" xr:uid="{2E633AEA-7291-4284-901C-7D08606882FE}">
      <formula1>1</formula1>
      <formula2>5</formula2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BE20-29FD-4CFA-9472-3DAF7FD18C0F}">
  <dimension ref="A1:AC35"/>
  <sheetViews>
    <sheetView topLeftCell="B10" workbookViewId="0">
      <selection activeCell="N10" sqref="N10"/>
    </sheetView>
  </sheetViews>
  <sheetFormatPr defaultRowHeight="15.75" x14ac:dyDescent="0.25"/>
  <cols>
    <col min="1" max="1" width="13.28515625" style="5" hidden="1" customWidth="1"/>
    <col min="2" max="2" width="11.140625" style="5" customWidth="1"/>
    <col min="3" max="3" width="4.7109375" style="5" customWidth="1"/>
    <col min="4" max="5" width="3.28515625" style="5" bestFit="1" customWidth="1"/>
    <col min="6" max="6" width="13" style="5" customWidth="1"/>
    <col min="7" max="7" width="14.28515625" style="5" bestFit="1" customWidth="1"/>
    <col min="8" max="8" width="17.5703125" style="5" bestFit="1" customWidth="1"/>
    <col min="9" max="9" width="11.5703125" style="5" bestFit="1" customWidth="1"/>
    <col min="10" max="10" width="9.42578125" style="5" bestFit="1" customWidth="1"/>
    <col min="11" max="11" width="4.5703125" style="5" customWidth="1"/>
    <col min="12" max="12" width="7.28515625" style="5" bestFit="1" customWidth="1"/>
    <col min="13" max="13" width="2.28515625" style="5" customWidth="1"/>
    <col min="14" max="14" width="6.28515625" style="5" customWidth="1"/>
    <col min="15" max="15" width="18.85546875" style="5" bestFit="1" customWidth="1"/>
    <col min="16" max="16" width="13.7109375" style="5" bestFit="1" customWidth="1"/>
    <col min="17" max="17" width="13.140625" style="5" bestFit="1" customWidth="1"/>
    <col min="18" max="18" width="8.7109375" style="5" bestFit="1" customWidth="1"/>
    <col min="19" max="19" width="9.28515625" style="5" hidden="1" customWidth="1"/>
    <col min="20" max="22" width="0" style="5" hidden="1" customWidth="1"/>
    <col min="23" max="23" width="9.140625" style="5"/>
    <col min="24" max="24" width="25.140625" style="5" customWidth="1"/>
    <col min="25" max="25" width="10" style="5" bestFit="1" customWidth="1"/>
    <col min="26" max="26" width="10.42578125" style="5" bestFit="1" customWidth="1"/>
    <col min="27" max="27" width="12.42578125" style="107" customWidth="1"/>
    <col min="28" max="28" width="12.7109375" style="107" customWidth="1"/>
    <col min="29" max="29" width="10.42578125" style="107" bestFit="1" customWidth="1"/>
    <col min="30" max="16384" width="9.140625" style="5"/>
  </cols>
  <sheetData>
    <row r="1" spans="1:29" x14ac:dyDescent="0.25">
      <c r="H1" s="6"/>
      <c r="I1" s="6"/>
      <c r="J1" s="6"/>
      <c r="M1" s="7"/>
      <c r="N1" s="8" t="s">
        <v>4</v>
      </c>
      <c r="O1" s="8"/>
      <c r="P1" s="9"/>
      <c r="Q1" s="8" t="s">
        <v>5</v>
      </c>
      <c r="R1" s="10"/>
      <c r="S1" s="5">
        <f>I18/60</f>
        <v>0</v>
      </c>
      <c r="T1" s="3"/>
      <c r="U1" s="4"/>
      <c r="V1" s="4"/>
      <c r="Y1" s="11"/>
      <c r="Z1" s="11" t="s">
        <v>12</v>
      </c>
      <c r="AA1" s="105"/>
      <c r="AB1" s="106"/>
      <c r="AC1" s="105"/>
    </row>
    <row r="2" spans="1:29" ht="16.5" thickBot="1" x14ac:dyDescent="0.3">
      <c r="H2" s="6"/>
      <c r="J2" s="6"/>
      <c r="M2" s="13"/>
      <c r="N2" s="14">
        <v>1</v>
      </c>
      <c r="O2" s="15">
        <v>1518</v>
      </c>
      <c r="P2" s="16">
        <v>7.4999999999999997E-2</v>
      </c>
      <c r="Q2" s="15">
        <f>O2*P2</f>
        <v>113.85</v>
      </c>
      <c r="R2" s="17">
        <v>0</v>
      </c>
      <c r="S2" s="5">
        <f>I19/60</f>
        <v>0</v>
      </c>
      <c r="T2" s="1">
        <v>0</v>
      </c>
      <c r="U2" s="1">
        <v>31</v>
      </c>
      <c r="V2" s="18">
        <f>(I5/U2)*T2</f>
        <v>0</v>
      </c>
      <c r="AA2" s="105">
        <f t="shared" ref="AA2:AC6" si="0">O13</f>
        <v>2428.8000000000002</v>
      </c>
      <c r="AB2" s="106">
        <f t="shared" si="0"/>
        <v>0</v>
      </c>
      <c r="AC2" s="105">
        <f t="shared" si="0"/>
        <v>0</v>
      </c>
    </row>
    <row r="3" spans="1:29" x14ac:dyDescent="0.25">
      <c r="B3" s="20" t="s">
        <v>22</v>
      </c>
      <c r="C3" s="20"/>
      <c r="D3" s="21">
        <v>30</v>
      </c>
      <c r="E3" s="21">
        <v>30</v>
      </c>
      <c r="F3" s="22">
        <f>(I5/E3)*D3</f>
        <v>5182.03</v>
      </c>
      <c r="H3" s="6" t="s">
        <v>15</v>
      </c>
      <c r="I3" s="23">
        <v>5182.03</v>
      </c>
      <c r="J3" s="6"/>
      <c r="M3" s="13"/>
      <c r="N3" s="14">
        <v>2</v>
      </c>
      <c r="O3" s="15">
        <v>2793.88</v>
      </c>
      <c r="P3" s="16">
        <v>0.09</v>
      </c>
      <c r="Q3" s="15">
        <f>(O3-O2)*P3</f>
        <v>114.8292</v>
      </c>
      <c r="R3" s="17">
        <v>22.77</v>
      </c>
      <c r="S3" s="5">
        <f>I20/60</f>
        <v>0</v>
      </c>
      <c r="T3" s="1">
        <f>T2</f>
        <v>0</v>
      </c>
      <c r="U3" s="1">
        <f>U2</f>
        <v>31</v>
      </c>
      <c r="V3" s="18">
        <f>(A3/U3)*T3</f>
        <v>0</v>
      </c>
      <c r="AA3" s="105">
        <f t="shared" si="0"/>
        <v>2826.65</v>
      </c>
      <c r="AB3" s="106">
        <f t="shared" si="0"/>
        <v>7.4999999999999997E-2</v>
      </c>
      <c r="AC3" s="105">
        <f t="shared" si="0"/>
        <v>182.16</v>
      </c>
    </row>
    <row r="4" spans="1:29" ht="16.5" thickBot="1" x14ac:dyDescent="0.3">
      <c r="F4" s="24">
        <f>F3</f>
        <v>5182.03</v>
      </c>
      <c r="H4" s="6" t="s">
        <v>16</v>
      </c>
      <c r="I4" s="25">
        <f>P29+P30+P31+P32</f>
        <v>0</v>
      </c>
      <c r="J4" s="6"/>
      <c r="M4" s="13"/>
      <c r="N4" s="14">
        <v>3</v>
      </c>
      <c r="O4" s="15">
        <v>4190.83</v>
      </c>
      <c r="P4" s="16">
        <v>0.12</v>
      </c>
      <c r="Q4" s="15">
        <f>(O4-O3)*P4</f>
        <v>167.63399999999999</v>
      </c>
      <c r="R4" s="17">
        <v>106.59</v>
      </c>
      <c r="T4" s="26">
        <v>0.33333299999999999</v>
      </c>
      <c r="U4" s="27"/>
      <c r="V4" s="18">
        <f>(V2+V3)*T4</f>
        <v>0</v>
      </c>
      <c r="Y4" s="11"/>
      <c r="Z4" s="19">
        <f t="shared" ref="Z4:Z6" si="1">N15</f>
        <v>3</v>
      </c>
      <c r="AA4" s="105">
        <f t="shared" si="0"/>
        <v>3751.05</v>
      </c>
      <c r="AB4" s="106">
        <f t="shared" si="0"/>
        <v>0.15</v>
      </c>
      <c r="AC4" s="105">
        <f t="shared" si="0"/>
        <v>394.16</v>
      </c>
    </row>
    <row r="5" spans="1:29" ht="16.5" thickBot="1" x14ac:dyDescent="0.3">
      <c r="B5" s="20" t="s">
        <v>6</v>
      </c>
      <c r="C5" s="20"/>
      <c r="D5" s="20"/>
      <c r="E5" s="20"/>
      <c r="F5" s="28">
        <f>P23</f>
        <v>535.08119999999997</v>
      </c>
      <c r="H5" s="5" t="s">
        <v>44</v>
      </c>
      <c r="I5" s="29">
        <f>I3+I4</f>
        <v>5182.03</v>
      </c>
      <c r="J5" s="6"/>
      <c r="M5" s="13"/>
      <c r="N5" s="14">
        <v>4</v>
      </c>
      <c r="O5" s="15">
        <v>8157.41</v>
      </c>
      <c r="P5" s="16">
        <v>0.14000000000000001</v>
      </c>
      <c r="Q5" s="15">
        <f>(O5-O4)*P5</f>
        <v>555.32120000000009</v>
      </c>
      <c r="R5" s="17">
        <v>190.4</v>
      </c>
      <c r="S5" s="5">
        <f>H18+S1</f>
        <v>0</v>
      </c>
      <c r="T5" s="27"/>
      <c r="U5" s="27"/>
      <c r="V5" s="2">
        <f>V2+V3+V4</f>
        <v>0</v>
      </c>
      <c r="Y5" s="11"/>
      <c r="Z5" s="19">
        <f t="shared" si="1"/>
        <v>4</v>
      </c>
      <c r="AA5" s="105">
        <f t="shared" si="0"/>
        <v>4664.68</v>
      </c>
      <c r="AB5" s="106">
        <f t="shared" si="0"/>
        <v>0.22500000000000001</v>
      </c>
      <c r="AC5" s="105">
        <f t="shared" si="0"/>
        <v>675.49</v>
      </c>
    </row>
    <row r="6" spans="1:29" x14ac:dyDescent="0.25">
      <c r="B6" s="20" t="s">
        <v>45</v>
      </c>
      <c r="C6" s="20"/>
      <c r="D6" s="20"/>
      <c r="E6" s="20"/>
      <c r="F6" s="30">
        <f>IF(Q23&lt;10,0,Q23)</f>
        <v>353.84674999999993</v>
      </c>
      <c r="H6" s="6"/>
      <c r="J6" s="6"/>
      <c r="M6" s="13"/>
      <c r="N6" s="31"/>
      <c r="O6" s="32"/>
      <c r="P6" s="33"/>
      <c r="Q6" s="32">
        <f>SUM(Q2:Q5)</f>
        <v>951.63440000000003</v>
      </c>
      <c r="R6" s="17"/>
      <c r="S6" s="5">
        <f>H19+S2</f>
        <v>0</v>
      </c>
      <c r="Y6" s="11"/>
      <c r="Z6" s="19">
        <f t="shared" si="1"/>
        <v>5</v>
      </c>
      <c r="AA6" s="105">
        <f t="shared" si="0"/>
        <v>999999</v>
      </c>
      <c r="AB6" s="106">
        <f t="shared" si="0"/>
        <v>0.27500000000000002</v>
      </c>
      <c r="AC6" s="105">
        <f t="shared" si="0"/>
        <v>908.73</v>
      </c>
    </row>
    <row r="7" spans="1:29" ht="16.5" thickBot="1" x14ac:dyDescent="0.3">
      <c r="A7" s="34"/>
      <c r="H7" s="6"/>
      <c r="J7" s="6"/>
      <c r="M7" s="13"/>
      <c r="O7" s="32" t="s">
        <v>8</v>
      </c>
      <c r="P7" s="32"/>
      <c r="Q7" s="32"/>
      <c r="R7" s="17"/>
      <c r="S7" s="5">
        <f>H20+S3</f>
        <v>0</v>
      </c>
      <c r="Y7" s="32"/>
      <c r="Z7" s="32"/>
      <c r="AA7" s="105"/>
      <c r="AB7" s="106"/>
      <c r="AC7" s="105"/>
    </row>
    <row r="8" spans="1:29" ht="16.5" thickBot="1" x14ac:dyDescent="0.3">
      <c r="B8" s="5" t="s">
        <v>23</v>
      </c>
      <c r="F8" s="35">
        <f>F3-F5-F6</f>
        <v>4293.1020500000004</v>
      </c>
      <c r="H8" s="20" t="s">
        <v>18</v>
      </c>
      <c r="I8" s="15">
        <f>I3/220</f>
        <v>23.554681818181816</v>
      </c>
      <c r="J8" s="36"/>
      <c r="M8" s="13"/>
      <c r="O8" s="15">
        <v>1906.04</v>
      </c>
      <c r="P8" s="15">
        <v>65</v>
      </c>
      <c r="Q8" s="32"/>
      <c r="R8" s="17"/>
    </row>
    <row r="9" spans="1:29" x14ac:dyDescent="0.25">
      <c r="F9" s="25">
        <f>5000-F8-1200</f>
        <v>-493.10205000000042</v>
      </c>
      <c r="H9" s="6"/>
      <c r="M9" s="13"/>
      <c r="N9" s="32"/>
      <c r="O9" s="32"/>
      <c r="P9" s="33"/>
      <c r="Q9" s="32"/>
      <c r="R9" s="17"/>
      <c r="Y9" s="32"/>
      <c r="Z9" s="32"/>
      <c r="AA9" s="105"/>
      <c r="AB9" s="106"/>
      <c r="AC9" s="105"/>
    </row>
    <row r="10" spans="1:29" x14ac:dyDescent="0.25">
      <c r="G10" s="37"/>
      <c r="H10" s="38" t="s">
        <v>7</v>
      </c>
      <c r="I10" s="39">
        <f>P21*8%</f>
        <v>414.56239999999997</v>
      </c>
      <c r="M10" s="13"/>
      <c r="N10" s="109"/>
      <c r="O10" s="110">
        <v>189.59</v>
      </c>
      <c r="P10" s="111" t="s">
        <v>10</v>
      </c>
      <c r="Q10" s="112">
        <v>607.20000000000005</v>
      </c>
      <c r="R10" s="123"/>
      <c r="AB10" s="106"/>
      <c r="AC10" s="105"/>
    </row>
    <row r="11" spans="1:29" x14ac:dyDescent="0.25">
      <c r="M11" s="13"/>
      <c r="N11" s="113"/>
      <c r="O11" s="114"/>
      <c r="P11" s="115"/>
      <c r="Q11" s="114"/>
      <c r="R11" s="124"/>
      <c r="AB11" s="106"/>
      <c r="AC11" s="105"/>
    </row>
    <row r="12" spans="1:29" x14ac:dyDescent="0.25">
      <c r="M12" s="13"/>
      <c r="N12" s="69" t="s">
        <v>12</v>
      </c>
      <c r="O12" s="69"/>
      <c r="P12" s="116"/>
      <c r="Q12" s="69"/>
      <c r="R12" s="125"/>
      <c r="Y12" s="32"/>
      <c r="Z12" s="31"/>
      <c r="AA12" s="105"/>
      <c r="AB12" s="106"/>
      <c r="AC12" s="105"/>
    </row>
    <row r="13" spans="1:29" x14ac:dyDescent="0.25">
      <c r="H13" s="5" t="s">
        <v>19</v>
      </c>
      <c r="M13" s="13"/>
      <c r="N13" s="117">
        <v>1</v>
      </c>
      <c r="O13" s="118">
        <v>2428.8000000000002</v>
      </c>
      <c r="P13" s="119">
        <v>0</v>
      </c>
      <c r="Q13" s="118">
        <v>0</v>
      </c>
      <c r="R13" s="125"/>
      <c r="Y13" s="32"/>
      <c r="Z13" s="31"/>
      <c r="AA13" s="105"/>
      <c r="AB13" s="106"/>
      <c r="AC13" s="105"/>
    </row>
    <row r="14" spans="1:29" x14ac:dyDescent="0.25">
      <c r="H14" s="42">
        <v>23</v>
      </c>
      <c r="M14" s="13"/>
      <c r="N14" s="117">
        <v>2</v>
      </c>
      <c r="O14" s="118">
        <v>2826.65</v>
      </c>
      <c r="P14" s="119">
        <v>7.4999999999999997E-2</v>
      </c>
      <c r="Q14" s="118">
        <v>182.16</v>
      </c>
      <c r="R14" s="125"/>
    </row>
    <row r="15" spans="1:29" x14ac:dyDescent="0.25">
      <c r="H15" s="42">
        <v>7</v>
      </c>
      <c r="M15" s="13"/>
      <c r="N15" s="117">
        <v>3</v>
      </c>
      <c r="O15" s="118">
        <v>3751.05</v>
      </c>
      <c r="P15" s="119">
        <v>0.15</v>
      </c>
      <c r="Q15" s="118">
        <v>394.16</v>
      </c>
      <c r="R15" s="17"/>
    </row>
    <row r="16" spans="1:29" x14ac:dyDescent="0.25">
      <c r="M16" s="13"/>
      <c r="N16" s="117">
        <v>4</v>
      </c>
      <c r="O16" s="118">
        <v>4664.68</v>
      </c>
      <c r="P16" s="119">
        <v>0.22500000000000001</v>
      </c>
      <c r="Q16" s="118">
        <v>675.49</v>
      </c>
      <c r="R16" s="17"/>
    </row>
    <row r="17" spans="7:29" x14ac:dyDescent="0.25">
      <c r="H17" s="5" t="s">
        <v>21</v>
      </c>
      <c r="I17" s="5" t="s">
        <v>20</v>
      </c>
      <c r="M17" s="13"/>
      <c r="N17" s="117">
        <v>5</v>
      </c>
      <c r="O17" s="118">
        <v>999999</v>
      </c>
      <c r="P17" s="120">
        <v>0.27500000000000002</v>
      </c>
      <c r="Q17" s="118">
        <v>908.73</v>
      </c>
      <c r="R17" s="17"/>
      <c r="X17" s="5" t="s">
        <v>38</v>
      </c>
      <c r="Y17" s="11"/>
      <c r="Z17" s="105">
        <v>2057.59</v>
      </c>
      <c r="AA17" s="105">
        <v>6.08</v>
      </c>
      <c r="AB17" s="106">
        <f>P13</f>
        <v>0</v>
      </c>
      <c r="AC17" s="105">
        <v>1927.02</v>
      </c>
    </row>
    <row r="18" spans="7:29" ht="16.5" thickBot="1" x14ac:dyDescent="0.3">
      <c r="G18" s="44">
        <v>0.5</v>
      </c>
      <c r="H18" s="45"/>
      <c r="I18" s="45"/>
      <c r="M18" s="46"/>
      <c r="N18" s="47"/>
      <c r="O18" s="47"/>
      <c r="P18" s="48"/>
      <c r="Q18" s="47"/>
      <c r="R18" s="49"/>
      <c r="X18" s="5" t="s">
        <v>37</v>
      </c>
      <c r="Y18" s="11"/>
      <c r="Z18" s="105">
        <v>1984.16</v>
      </c>
      <c r="AA18" s="105">
        <v>6.85</v>
      </c>
      <c r="AB18" s="106">
        <f>P14</f>
        <v>7.4999999999999997E-2</v>
      </c>
      <c r="AC18" s="105">
        <v>1856.94</v>
      </c>
    </row>
    <row r="19" spans="7:29" ht="16.5" thickBot="1" x14ac:dyDescent="0.3">
      <c r="G19" s="44">
        <v>1</v>
      </c>
      <c r="H19" s="45"/>
      <c r="I19" s="45"/>
    </row>
    <row r="20" spans="7:29" x14ac:dyDescent="0.25">
      <c r="G20" s="5" t="s">
        <v>17</v>
      </c>
      <c r="H20" s="45"/>
      <c r="I20" s="45"/>
      <c r="O20" s="7" t="s">
        <v>0</v>
      </c>
      <c r="P20" s="8" t="s">
        <v>1</v>
      </c>
      <c r="Q20" s="10" t="s">
        <v>2</v>
      </c>
      <c r="Z20" s="5" t="s">
        <v>39</v>
      </c>
      <c r="AA20" s="121">
        <v>3395</v>
      </c>
    </row>
    <row r="21" spans="7:29" x14ac:dyDescent="0.25">
      <c r="H21" s="6"/>
      <c r="O21" s="13">
        <f>V5+F4+Q27</f>
        <v>5182.03</v>
      </c>
      <c r="P21" s="32">
        <f>O21</f>
        <v>5182.03</v>
      </c>
      <c r="Q21" s="50">
        <f>P21</f>
        <v>5182.03</v>
      </c>
    </row>
    <row r="22" spans="7:29" x14ac:dyDescent="0.25">
      <c r="H22" s="6"/>
      <c r="O22" s="13">
        <v>7087.22</v>
      </c>
      <c r="P22" s="51">
        <f>IF(O21&gt;O5,Q6,IF(O21&gt;O4,(O21-O4)*P5+Q4+Q3+Q2,IF(O21&gt;O3,(O21-O3)*P4+Q3+Q2,IF(O21&gt;O2,(O21-O2)*P3+Q2,O21*P2))))</f>
        <v>535.08119999999997</v>
      </c>
      <c r="Q22" s="17">
        <f>Q21-P22-P24</f>
        <v>4646.9488000000001</v>
      </c>
    </row>
    <row r="23" spans="7:29" ht="16.5" thickBot="1" x14ac:dyDescent="0.3">
      <c r="O23" s="52"/>
      <c r="P23" s="53">
        <f>IF(P22&gt;$Q$6,$Q$6,P22)</f>
        <v>535.08119999999997</v>
      </c>
      <c r="Q23" s="54">
        <f>IF(Q35&gt;Q34,Q34,Q35)</f>
        <v>353.84674999999993</v>
      </c>
    </row>
    <row r="24" spans="7:29" x14ac:dyDescent="0.25">
      <c r="O24" s="55" t="s">
        <v>3</v>
      </c>
      <c r="P24" s="56">
        <f>N10*O10</f>
        <v>0</v>
      </c>
      <c r="Q24" s="55"/>
    </row>
    <row r="26" spans="7:29" x14ac:dyDescent="0.25">
      <c r="R26" s="57"/>
    </row>
    <row r="27" spans="7:29" s="3" customFormat="1" hidden="1" x14ac:dyDescent="0.25">
      <c r="Q27" s="58"/>
      <c r="R27" s="58"/>
      <c r="AA27" s="108"/>
      <c r="AB27" s="108"/>
      <c r="AC27" s="108"/>
    </row>
    <row r="28" spans="7:29" hidden="1" x14ac:dyDescent="0.25"/>
    <row r="29" spans="7:29" x14ac:dyDescent="0.25">
      <c r="O29" s="20" t="s">
        <v>11</v>
      </c>
      <c r="P29" s="59">
        <f>Q29*S5</f>
        <v>0</v>
      </c>
      <c r="Q29" s="60">
        <f>(I8*50%)+I8</f>
        <v>35.332022727272722</v>
      </c>
      <c r="X29" s="5" t="s">
        <v>43</v>
      </c>
      <c r="Y29" s="42">
        <v>7350</v>
      </c>
    </row>
    <row r="30" spans="7:29" x14ac:dyDescent="0.25">
      <c r="O30" s="20" t="s">
        <v>13</v>
      </c>
      <c r="P30" s="59">
        <f>Q30*S6</f>
        <v>0</v>
      </c>
      <c r="Q30" s="60">
        <f>(I8*100%)+I8</f>
        <v>47.109363636363632</v>
      </c>
    </row>
    <row r="31" spans="7:29" x14ac:dyDescent="0.25">
      <c r="O31" s="20" t="s">
        <v>14</v>
      </c>
      <c r="P31" s="59">
        <f>((P29+P30)/H14)*H15</f>
        <v>0</v>
      </c>
      <c r="Q31" s="20"/>
    </row>
    <row r="32" spans="7:29" x14ac:dyDescent="0.25">
      <c r="O32" s="20" t="s">
        <v>17</v>
      </c>
      <c r="P32" s="59">
        <f>Q32*S7</f>
        <v>0</v>
      </c>
      <c r="Q32" s="60">
        <f>(I8*20%)</f>
        <v>4.710936363636363</v>
      </c>
    </row>
    <row r="34" spans="15:17" x14ac:dyDescent="0.25">
      <c r="O34" s="25">
        <f>Q21-Q10</f>
        <v>4574.83</v>
      </c>
      <c r="P34" s="31"/>
      <c r="Q34" s="15">
        <f>IF(O34&lt;AA2,0,IF(O34&lt;AA3,O34*AB3-AC3,IF(O34&lt;AA4,O34*AB4-AC4,IF(O34&lt;AA5,O34*AB5-AC5,O34*AB6-AC6))))</f>
        <v>353.84674999999993</v>
      </c>
    </row>
    <row r="35" spans="15:17" x14ac:dyDescent="0.25">
      <c r="O35" s="32"/>
      <c r="P35" s="31"/>
      <c r="Q35" s="15">
        <f>IF(Q22&gt;AA6,Q22*AB6-AC6,IF(Q22&gt;AA5,Q22*AB6-AC6,IF(Q22&gt;AA4,Q22*AB5-AC5,IF(Q22&gt;AA3,Q22*AB4-AC4,IF(Q22&gt;AA2,Q22*AB3-AC3,0)))))</f>
        <v>370.07348000000002</v>
      </c>
    </row>
  </sheetData>
  <protectedRanges>
    <protectedRange sqref="H21 D3:E3 I3 H14:H15 H18:I20" name="Intervalo1"/>
    <protectedRange sqref="N10" name="Intervalo1_1_2"/>
  </protectedRanges>
  <dataValidations count="1">
    <dataValidation type="whole" allowBlank="1" showInputMessage="1" showErrorMessage="1" sqref="N10" xr:uid="{C1926BD0-BD35-4E3E-9345-C7AC74A110AD}">
      <formula1>1</formula1>
      <formula2>5</formula2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6D66-441A-4446-97E5-E2F9FB730A4D}">
  <dimension ref="A1:AC35"/>
  <sheetViews>
    <sheetView tabSelected="1" topLeftCell="B1" workbookViewId="0">
      <selection activeCell="I19" sqref="I19"/>
    </sheetView>
  </sheetViews>
  <sheetFormatPr defaultRowHeight="15.75" x14ac:dyDescent="0.25"/>
  <cols>
    <col min="1" max="1" width="13.28515625" style="5" hidden="1" customWidth="1"/>
    <col min="2" max="2" width="11.140625" style="5" customWidth="1"/>
    <col min="3" max="3" width="4.7109375" style="5" customWidth="1"/>
    <col min="4" max="5" width="3.28515625" style="5" hidden="1" customWidth="1"/>
    <col min="6" max="6" width="13" style="5" customWidth="1"/>
    <col min="7" max="7" width="14.28515625" style="5" bestFit="1" customWidth="1"/>
    <col min="8" max="8" width="17.5703125" style="5" bestFit="1" customWidth="1"/>
    <col min="9" max="9" width="12.7109375" style="5" bestFit="1" customWidth="1"/>
    <col min="10" max="10" width="9.42578125" style="5" bestFit="1" customWidth="1"/>
    <col min="11" max="11" width="4.5703125" style="5" customWidth="1"/>
    <col min="12" max="12" width="7.28515625" style="5" bestFit="1" customWidth="1"/>
    <col min="13" max="13" width="2.28515625" style="5" customWidth="1"/>
    <col min="14" max="14" width="6.28515625" style="5" customWidth="1"/>
    <col min="15" max="15" width="18.85546875" style="5" bestFit="1" customWidth="1"/>
    <col min="16" max="16" width="13.7109375" style="5" bestFit="1" customWidth="1"/>
    <col min="17" max="17" width="13.140625" style="5" bestFit="1" customWidth="1"/>
    <col min="18" max="18" width="20.28515625" style="5" customWidth="1"/>
    <col min="19" max="19" width="9.28515625" style="5" hidden="1" customWidth="1"/>
    <col min="20" max="22" width="9.140625" style="5" hidden="1" customWidth="1"/>
    <col min="23" max="23" width="0" style="5" hidden="1" customWidth="1"/>
    <col min="24" max="24" width="25.140625" style="5" customWidth="1"/>
    <col min="25" max="26" width="10.42578125" style="5" bestFit="1" customWidth="1"/>
    <col min="27" max="27" width="12.42578125" style="107" customWidth="1"/>
    <col min="28" max="28" width="12.7109375" style="107" customWidth="1"/>
    <col min="29" max="29" width="10.42578125" style="107" bestFit="1" customWidth="1"/>
    <col min="30" max="16384" width="9.140625" style="5"/>
  </cols>
  <sheetData>
    <row r="1" spans="1:29" x14ac:dyDescent="0.25">
      <c r="H1" s="6"/>
      <c r="I1" s="6"/>
      <c r="J1" s="6"/>
      <c r="M1" s="7"/>
      <c r="N1" s="8" t="s">
        <v>46</v>
      </c>
      <c r="O1" s="8"/>
      <c r="P1" s="9"/>
      <c r="Q1" s="8" t="s">
        <v>47</v>
      </c>
      <c r="R1" s="10"/>
      <c r="S1" s="5">
        <f>I18/60</f>
        <v>0.8</v>
      </c>
      <c r="T1" s="3"/>
      <c r="U1" s="4"/>
      <c r="V1" s="4"/>
      <c r="Y1" s="11"/>
      <c r="Z1" s="11" t="s">
        <v>12</v>
      </c>
      <c r="AA1" s="105"/>
      <c r="AB1" s="106"/>
      <c r="AC1" s="105"/>
    </row>
    <row r="2" spans="1:29" ht="16.5" thickBot="1" x14ac:dyDescent="0.3">
      <c r="H2" s="6"/>
      <c r="I2" s="25"/>
      <c r="J2" s="6"/>
      <c r="M2" s="13"/>
      <c r="N2" s="14">
        <v>1</v>
      </c>
      <c r="O2" s="15">
        <v>1621</v>
      </c>
      <c r="P2" s="16">
        <v>7.4999999999999997E-2</v>
      </c>
      <c r="Q2" s="15">
        <v>121.58</v>
      </c>
      <c r="R2" s="17" t="s">
        <v>48</v>
      </c>
      <c r="S2" s="5">
        <f>I19/60</f>
        <v>8.3333333333333329E-2</v>
      </c>
      <c r="T2" s="1">
        <v>0</v>
      </c>
      <c r="U2" s="1">
        <v>31</v>
      </c>
      <c r="V2" s="18">
        <f>(I5/U2)*T2</f>
        <v>0</v>
      </c>
      <c r="W2" s="25">
        <f>P21*P2</f>
        <v>375.2343039772727</v>
      </c>
      <c r="AA2" s="105">
        <f t="shared" ref="AA2:AC6" si="0">O13</f>
        <v>2428.8000000000002</v>
      </c>
      <c r="AB2" s="106">
        <f t="shared" si="0"/>
        <v>0</v>
      </c>
      <c r="AC2" s="105">
        <f t="shared" si="0"/>
        <v>0</v>
      </c>
    </row>
    <row r="3" spans="1:29" x14ac:dyDescent="0.25">
      <c r="B3" s="20" t="s">
        <v>22</v>
      </c>
      <c r="C3" s="20"/>
      <c r="D3" s="21">
        <v>30</v>
      </c>
      <c r="E3" s="21">
        <v>30</v>
      </c>
      <c r="F3" s="22">
        <f>(I5/E3)*D3</f>
        <v>5003.124053030303</v>
      </c>
      <c r="H3" s="6" t="s">
        <v>15</v>
      </c>
      <c r="I3" s="23">
        <v>3395</v>
      </c>
      <c r="J3" s="6"/>
      <c r="M3" s="13"/>
      <c r="N3" s="14">
        <v>2</v>
      </c>
      <c r="O3" s="15">
        <v>2902.84</v>
      </c>
      <c r="P3" s="16">
        <v>0.09</v>
      </c>
      <c r="Q3" s="15">
        <v>115.37</v>
      </c>
      <c r="R3" s="17">
        <v>24.32</v>
      </c>
      <c r="S3" s="5">
        <f>I20/60</f>
        <v>0</v>
      </c>
      <c r="T3" s="1">
        <f>T2</f>
        <v>0</v>
      </c>
      <c r="U3" s="1">
        <f>U2</f>
        <v>31</v>
      </c>
      <c r="V3" s="18">
        <f>(A3/U3)*T3</f>
        <v>0</v>
      </c>
      <c r="W3" s="25">
        <f>(P21*P3)-Q3</f>
        <v>334.91116477272726</v>
      </c>
      <c r="AA3" s="105">
        <f t="shared" si="0"/>
        <v>2826.65</v>
      </c>
      <c r="AB3" s="106">
        <f t="shared" si="0"/>
        <v>7.4999999999999997E-2</v>
      </c>
      <c r="AC3" s="105">
        <f t="shared" si="0"/>
        <v>182.16</v>
      </c>
    </row>
    <row r="4" spans="1:29" ht="16.5" thickBot="1" x14ac:dyDescent="0.3">
      <c r="F4" s="24">
        <f>F3</f>
        <v>5003.124053030303</v>
      </c>
      <c r="H4" s="6" t="s">
        <v>16</v>
      </c>
      <c r="I4" s="25">
        <f>P29+P30+P31+P32</f>
        <v>1608.124053030303</v>
      </c>
      <c r="J4" s="6"/>
      <c r="M4" s="13"/>
      <c r="N4" s="14">
        <v>3</v>
      </c>
      <c r="O4" s="15">
        <v>4354.2700000000004</v>
      </c>
      <c r="P4" s="16">
        <v>0.12</v>
      </c>
      <c r="Q4" s="15">
        <v>174.17</v>
      </c>
      <c r="R4" s="17">
        <v>111.4</v>
      </c>
      <c r="T4" s="26">
        <v>0.33333299999999999</v>
      </c>
      <c r="U4" s="27"/>
      <c r="V4" s="18">
        <f>(V2+V3)*T4</f>
        <v>0</v>
      </c>
      <c r="W4" s="25">
        <f>(P21*P4)-Q4</f>
        <v>426.20488636363643</v>
      </c>
      <c r="Y4" s="11"/>
      <c r="Z4" s="19">
        <f t="shared" ref="Z4:Z6" si="1">N15</f>
        <v>3</v>
      </c>
      <c r="AA4" s="105">
        <f t="shared" si="0"/>
        <v>3751.05</v>
      </c>
      <c r="AB4" s="106">
        <f t="shared" si="0"/>
        <v>0.15</v>
      </c>
      <c r="AC4" s="105">
        <f t="shared" si="0"/>
        <v>394.16</v>
      </c>
    </row>
    <row r="5" spans="1:29" ht="16.5" thickBot="1" x14ac:dyDescent="0.3">
      <c r="B5" s="20" t="s">
        <v>6</v>
      </c>
      <c r="C5" s="20"/>
      <c r="D5" s="20"/>
      <c r="E5" s="20"/>
      <c r="F5" s="28">
        <f>P23</f>
        <v>501.95956742424232</v>
      </c>
      <c r="H5" s="5" t="s">
        <v>44</v>
      </c>
      <c r="I5" s="29">
        <f>I3+I4</f>
        <v>5003.124053030303</v>
      </c>
      <c r="J5" s="6"/>
      <c r="M5" s="13"/>
      <c r="N5" s="14">
        <v>4</v>
      </c>
      <c r="O5" s="15">
        <v>8475.5499999999993</v>
      </c>
      <c r="P5" s="16">
        <v>0.14000000000000001</v>
      </c>
      <c r="Q5" s="15">
        <v>576.98</v>
      </c>
      <c r="R5" s="17">
        <v>198.49</v>
      </c>
      <c r="S5" s="5">
        <f>H18+S1</f>
        <v>20.8</v>
      </c>
      <c r="T5" s="27"/>
      <c r="U5" s="27"/>
      <c r="V5" s="2">
        <f>V2+V3+V4</f>
        <v>0</v>
      </c>
      <c r="W5" s="25">
        <f>(P21*P5)-R5</f>
        <v>501.94736742424243</v>
      </c>
      <c r="Y5" s="11"/>
      <c r="Z5" s="19">
        <f t="shared" si="1"/>
        <v>4</v>
      </c>
      <c r="AA5" s="105">
        <f t="shared" si="0"/>
        <v>4664.68</v>
      </c>
      <c r="AB5" s="106">
        <f t="shared" si="0"/>
        <v>0.22500000000000001</v>
      </c>
      <c r="AC5" s="105">
        <f t="shared" si="0"/>
        <v>675.49</v>
      </c>
    </row>
    <row r="6" spans="1:29" x14ac:dyDescent="0.25">
      <c r="B6" s="20" t="s">
        <v>2</v>
      </c>
      <c r="C6" s="20"/>
      <c r="D6" s="20"/>
      <c r="E6" s="20"/>
      <c r="F6" s="30">
        <f>R18</f>
        <v>0</v>
      </c>
      <c r="H6" s="6"/>
      <c r="J6" s="6"/>
      <c r="M6" s="13"/>
      <c r="N6" s="31"/>
      <c r="O6" s="32"/>
      <c r="P6" s="33"/>
      <c r="Q6" s="32">
        <v>988.09</v>
      </c>
      <c r="R6" s="17"/>
      <c r="S6" s="5">
        <f>H19+S2</f>
        <v>26.083333333333332</v>
      </c>
      <c r="Y6" s="11"/>
      <c r="Z6" s="19">
        <f t="shared" si="1"/>
        <v>5</v>
      </c>
      <c r="AA6" s="105">
        <f t="shared" si="0"/>
        <v>999999</v>
      </c>
      <c r="AB6" s="106">
        <f t="shared" si="0"/>
        <v>0.27500000000000002</v>
      </c>
      <c r="AC6" s="105">
        <f t="shared" si="0"/>
        <v>908.73</v>
      </c>
    </row>
    <row r="7" spans="1:29" ht="16.5" thickBot="1" x14ac:dyDescent="0.3">
      <c r="A7" s="34"/>
      <c r="H7" s="6"/>
      <c r="J7" s="6"/>
      <c r="M7" s="13"/>
      <c r="O7" s="32" t="s">
        <v>49</v>
      </c>
      <c r="P7" s="32"/>
      <c r="Q7" s="32"/>
      <c r="R7" s="17"/>
      <c r="S7" s="5">
        <f>H20+S3</f>
        <v>0</v>
      </c>
      <c r="Y7" s="32"/>
      <c r="Z7" s="32"/>
      <c r="AA7" s="105"/>
      <c r="AB7" s="106"/>
      <c r="AC7" s="105"/>
    </row>
    <row r="8" spans="1:29" ht="16.5" thickBot="1" x14ac:dyDescent="0.3">
      <c r="B8" s="5" t="s">
        <v>23</v>
      </c>
      <c r="F8" s="35">
        <f>F3-F5-F6</f>
        <v>4501.1644856060611</v>
      </c>
      <c r="H8" s="20" t="s">
        <v>18</v>
      </c>
      <c r="I8" s="15">
        <f>I3/220</f>
        <v>15.431818181818182</v>
      </c>
      <c r="J8" s="36"/>
      <c r="M8" s="13"/>
      <c r="O8" s="15">
        <v>1980.38</v>
      </c>
      <c r="P8" s="15">
        <v>67.540000000000006</v>
      </c>
      <c r="Q8" s="32"/>
      <c r="R8" s="17"/>
      <c r="AB8" s="105">
        <f>AB9/6</f>
        <v>1024.6884725</v>
      </c>
    </row>
    <row r="9" spans="1:29" x14ac:dyDescent="0.25">
      <c r="F9" s="25">
        <f>5000-F8-1200</f>
        <v>-701.16448560606113</v>
      </c>
      <c r="H9" s="6"/>
      <c r="M9" s="13"/>
      <c r="N9" s="32" t="s">
        <v>50</v>
      </c>
      <c r="O9" s="32"/>
      <c r="P9" s="33"/>
      <c r="Q9" s="32"/>
      <c r="R9" s="17"/>
      <c r="Y9" s="32"/>
      <c r="Z9" s="32"/>
      <c r="AA9" s="105"/>
      <c r="AB9" s="137">
        <f>AB10*7</f>
        <v>6148.1308349999999</v>
      </c>
      <c r="AC9" s="105"/>
    </row>
    <row r="10" spans="1:29" x14ac:dyDescent="0.25">
      <c r="G10" s="37"/>
      <c r="H10" s="38" t="s">
        <v>7</v>
      </c>
      <c r="I10" s="39">
        <f>P21*8%</f>
        <v>400.24992424242424</v>
      </c>
      <c r="M10" s="13"/>
      <c r="N10" s="109"/>
      <c r="O10" s="110">
        <v>189.59</v>
      </c>
      <c r="P10" s="111" t="s">
        <v>10</v>
      </c>
      <c r="Q10" s="112">
        <v>607.20000000000005</v>
      </c>
      <c r="R10" s="123">
        <v>0.13314500000000001</v>
      </c>
      <c r="AB10" s="137">
        <f>AB11*4.4285</f>
        <v>878.30440499999997</v>
      </c>
      <c r="AC10" s="105"/>
    </row>
    <row r="11" spans="1:29" x14ac:dyDescent="0.25">
      <c r="M11" s="13"/>
      <c r="N11" s="113"/>
      <c r="O11" s="114"/>
      <c r="P11" s="115"/>
      <c r="Q11" s="114"/>
      <c r="R11" s="124">
        <v>978.62</v>
      </c>
      <c r="AB11" s="137">
        <f>AB12*20</f>
        <v>198.33</v>
      </c>
      <c r="AC11" s="105"/>
    </row>
    <row r="12" spans="1:29" x14ac:dyDescent="0.25">
      <c r="M12" s="13"/>
      <c r="N12" s="69" t="s">
        <v>12</v>
      </c>
      <c r="O12" s="69"/>
      <c r="P12" s="116"/>
      <c r="Q12" s="69"/>
      <c r="R12" s="125"/>
      <c r="Y12" s="32"/>
      <c r="Z12" s="31"/>
      <c r="AB12" s="137">
        <f>Z17/220</f>
        <v>9.916500000000001</v>
      </c>
      <c r="AC12" s="105"/>
    </row>
    <row r="13" spans="1:29" x14ac:dyDescent="0.25">
      <c r="H13" s="5" t="s">
        <v>19</v>
      </c>
      <c r="M13" s="13"/>
      <c r="N13" s="117">
        <v>1</v>
      </c>
      <c r="O13" s="118">
        <v>2428.8000000000002</v>
      </c>
      <c r="P13" s="119">
        <v>0</v>
      </c>
      <c r="Q13" s="118">
        <v>0</v>
      </c>
      <c r="R13" s="125">
        <f>Q21*R10</f>
        <v>666.14095204071975</v>
      </c>
      <c r="Y13" s="32"/>
      <c r="AC13" s="105"/>
    </row>
    <row r="14" spans="1:29" x14ac:dyDescent="0.25">
      <c r="H14" s="42">
        <v>24</v>
      </c>
      <c r="M14" s="13"/>
      <c r="N14" s="117">
        <v>2</v>
      </c>
      <c r="O14" s="118">
        <v>2826.65</v>
      </c>
      <c r="P14" s="119">
        <v>7.4999999999999997E-2</v>
      </c>
      <c r="Q14" s="118">
        <v>182.16</v>
      </c>
      <c r="R14" s="125">
        <f>IF(Q22&lt;Y29,R11-R13,0)</f>
        <v>312.47904795928025</v>
      </c>
      <c r="Y14" s="5">
        <v>1518</v>
      </c>
      <c r="Z14" s="138">
        <v>6.7860000000000004E-2</v>
      </c>
      <c r="AA14" s="139">
        <f>(Y14*Z14)+Y14</f>
        <v>1621.0114800000001</v>
      </c>
      <c r="AB14" s="137"/>
      <c r="AC14" s="137"/>
    </row>
    <row r="15" spans="1:29" x14ac:dyDescent="0.25">
      <c r="H15" s="42">
        <v>6</v>
      </c>
      <c r="M15" s="13"/>
      <c r="N15" s="117">
        <v>3</v>
      </c>
      <c r="O15" s="118">
        <v>3751.05</v>
      </c>
      <c r="P15" s="119">
        <v>0.15</v>
      </c>
      <c r="Q15" s="118">
        <v>394.16</v>
      </c>
      <c r="R15" s="17">
        <f>IF(Q34&lt;Q35,Q34,Q35)</f>
        <v>313.59291193181821</v>
      </c>
      <c r="Z15" s="25"/>
    </row>
    <row r="16" spans="1:29" x14ac:dyDescent="0.25">
      <c r="M16" s="13"/>
      <c r="N16" s="117">
        <v>4</v>
      </c>
      <c r="O16" s="118">
        <v>4664.68</v>
      </c>
      <c r="P16" s="119">
        <v>0.22500000000000001</v>
      </c>
      <c r="Q16" s="118">
        <v>675.49</v>
      </c>
      <c r="R16" s="17">
        <f>R15-R14</f>
        <v>1.1138639725379562</v>
      </c>
      <c r="X16" s="31" t="s">
        <v>51</v>
      </c>
      <c r="Z16" s="105">
        <f>AB8</f>
        <v>1024.6884725</v>
      </c>
      <c r="AC16" s="105"/>
    </row>
    <row r="17" spans="7:29" x14ac:dyDescent="0.25">
      <c r="H17" s="5" t="s">
        <v>21</v>
      </c>
      <c r="I17" s="5" t="s">
        <v>20</v>
      </c>
      <c r="M17" s="13"/>
      <c r="N17" s="117">
        <v>5</v>
      </c>
      <c r="O17" s="118">
        <v>999999</v>
      </c>
      <c r="P17" s="120">
        <v>0.27500000000000002</v>
      </c>
      <c r="Q17" s="118">
        <v>908.73</v>
      </c>
      <c r="R17" s="17">
        <f>IF(R16&lt;10,0,R16)</f>
        <v>0</v>
      </c>
      <c r="X17" s="5" t="s">
        <v>38</v>
      </c>
      <c r="Y17" s="11"/>
      <c r="Z17" s="105">
        <v>2181.63</v>
      </c>
      <c r="AA17" s="105">
        <f>AC17*AB17</f>
        <v>124.07267700000001</v>
      </c>
      <c r="AB17" s="106">
        <v>6.0299999999999999E-2</v>
      </c>
      <c r="AC17" s="105">
        <v>2057.59</v>
      </c>
    </row>
    <row r="18" spans="7:29" ht="16.5" thickBot="1" x14ac:dyDescent="0.3">
      <c r="G18" s="44">
        <v>0.5</v>
      </c>
      <c r="H18" s="45">
        <v>20</v>
      </c>
      <c r="I18" s="45">
        <v>48</v>
      </c>
      <c r="M18" s="46"/>
      <c r="N18" s="47"/>
      <c r="O18" s="47"/>
      <c r="P18" s="48"/>
      <c r="Q18" s="47"/>
      <c r="R18" s="49">
        <f>IF(R16&gt;R15,R15,R17)</f>
        <v>0</v>
      </c>
      <c r="X18" s="5" t="s">
        <v>37</v>
      </c>
      <c r="Y18" s="11"/>
      <c r="Z18" s="105">
        <v>2105.34</v>
      </c>
      <c r="AA18" s="105">
        <f>AC18*AB18</f>
        <v>121.23217600000001</v>
      </c>
      <c r="AB18" s="106">
        <v>6.1100000000000002E-2</v>
      </c>
      <c r="AC18" s="105">
        <v>1984.16</v>
      </c>
    </row>
    <row r="19" spans="7:29" ht="16.5" thickBot="1" x14ac:dyDescent="0.3">
      <c r="G19" s="44">
        <v>1</v>
      </c>
      <c r="H19" s="45">
        <v>26</v>
      </c>
      <c r="I19" s="45">
        <v>5</v>
      </c>
      <c r="AA19" s="137"/>
    </row>
    <row r="20" spans="7:29" x14ac:dyDescent="0.25">
      <c r="G20" s="5" t="s">
        <v>17</v>
      </c>
      <c r="H20" s="45"/>
      <c r="I20" s="45"/>
      <c r="O20" s="7" t="s">
        <v>0</v>
      </c>
      <c r="P20" s="8" t="s">
        <v>1</v>
      </c>
      <c r="Q20" s="10" t="s">
        <v>2</v>
      </c>
      <c r="Z20" s="5" t="s">
        <v>39</v>
      </c>
      <c r="AA20" s="121">
        <v>3395</v>
      </c>
    </row>
    <row r="21" spans="7:29" x14ac:dyDescent="0.25">
      <c r="G21" s="5" t="s">
        <v>52</v>
      </c>
      <c r="H21" s="42"/>
      <c r="I21" s="45"/>
      <c r="O21" s="13">
        <f>V5+F4+Q27</f>
        <v>5003.124053030303</v>
      </c>
      <c r="P21" s="32">
        <f>O21</f>
        <v>5003.124053030303</v>
      </c>
      <c r="Q21" s="50">
        <f>P21</f>
        <v>5003.124053030303</v>
      </c>
    </row>
    <row r="22" spans="7:29" x14ac:dyDescent="0.25">
      <c r="H22" s="140">
        <f>I8*I21</f>
        <v>0</v>
      </c>
      <c r="I22" s="140"/>
      <c r="O22" s="13">
        <v>7087.22</v>
      </c>
      <c r="P22" s="51">
        <f>IF(O21&gt;O5,Q6,IF(O21&gt;O4,(O21-O4)*P5+Q4+Q3+Q2,IF(O21&gt;O3,(O21-O3)*P4+Q3+Q2,IF(O21&gt;O2,(O21-O2)*P3+Q2,O21*P2))))</f>
        <v>501.95956742424232</v>
      </c>
      <c r="Q22" s="17">
        <f>Q21-P22-P24</f>
        <v>4501.1644856060611</v>
      </c>
    </row>
    <row r="23" spans="7:29" ht="16.5" thickBot="1" x14ac:dyDescent="0.3">
      <c r="O23" s="52"/>
      <c r="P23" s="53">
        <f>IF(P22&gt;$Q$6,$Q$6,P22)</f>
        <v>501.95956742424232</v>
      </c>
      <c r="Q23" s="54">
        <f>IF(Q22&lt;Y29,R17,IF(Q35&gt;Q34,Q34,Q35))</f>
        <v>0</v>
      </c>
    </row>
    <row r="24" spans="7:29" x14ac:dyDescent="0.25">
      <c r="O24" s="55" t="s">
        <v>3</v>
      </c>
      <c r="P24" s="56">
        <f>N10*O10</f>
        <v>0</v>
      </c>
      <c r="Q24" s="55"/>
    </row>
    <row r="25" spans="7:29" hidden="1" x14ac:dyDescent="0.25"/>
    <row r="26" spans="7:29" hidden="1" x14ac:dyDescent="0.25">
      <c r="R26" s="57"/>
    </row>
    <row r="27" spans="7:29" s="3" customFormat="1" hidden="1" x14ac:dyDescent="0.25">
      <c r="Q27" s="58"/>
      <c r="R27" s="58"/>
      <c r="AA27" s="108"/>
      <c r="AB27" s="108"/>
      <c r="AC27" s="108"/>
    </row>
    <row r="29" spans="7:29" x14ac:dyDescent="0.25">
      <c r="O29" s="20" t="s">
        <v>11</v>
      </c>
      <c r="P29" s="59">
        <f>Q29*S5</f>
        <v>481.4727272727273</v>
      </c>
      <c r="Q29" s="60">
        <f>(I8*50%)+I8</f>
        <v>23.147727272727273</v>
      </c>
      <c r="X29" s="5" t="s">
        <v>43</v>
      </c>
      <c r="Y29" s="42">
        <v>7350</v>
      </c>
    </row>
    <row r="30" spans="7:29" x14ac:dyDescent="0.25">
      <c r="O30" s="20" t="s">
        <v>13</v>
      </c>
      <c r="P30" s="59">
        <f>Q30*S6</f>
        <v>805.02651515151513</v>
      </c>
      <c r="Q30" s="60">
        <f>(I8*100%)+I8</f>
        <v>30.863636363636363</v>
      </c>
    </row>
    <row r="31" spans="7:29" x14ac:dyDescent="0.25">
      <c r="O31" s="20" t="s">
        <v>14</v>
      </c>
      <c r="P31" s="59">
        <f>((P29+P30)/H14)*H15</f>
        <v>321.62481060606058</v>
      </c>
      <c r="Q31" s="20"/>
    </row>
    <row r="32" spans="7:29" x14ac:dyDescent="0.25">
      <c r="O32" s="20" t="s">
        <v>17</v>
      </c>
      <c r="P32" s="59">
        <f>Q32*S7</f>
        <v>0</v>
      </c>
      <c r="Q32" s="60">
        <f>(I8*20%)</f>
        <v>3.0863636363636364</v>
      </c>
    </row>
    <row r="34" spans="15:17" x14ac:dyDescent="0.25">
      <c r="O34" s="25">
        <f>Q21-Q10</f>
        <v>4395.9240530303032</v>
      </c>
      <c r="P34" s="31"/>
      <c r="Q34" s="15">
        <f>IF(O34&lt;AA2,0,IF(O34&lt;AA3,O34*AB3-AC3,IF(O34&lt;AA4,O34*AB4-AC4,IF(O34&lt;AA5,O34*AB5-AC5,O34*AB6-AC6))))</f>
        <v>313.59291193181821</v>
      </c>
    </row>
    <row r="35" spans="15:17" x14ac:dyDescent="0.25">
      <c r="O35" s="32"/>
      <c r="P35" s="31"/>
      <c r="Q35" s="15">
        <f>IF(Q22&gt;AA6,Q22*AB6-AC6,IF(Q22&gt;AA5,Q22*AB6-AC6,IF(Q22&gt;AA4,Q22*AB5-AC5,IF(Q22&gt;AA3,Q22*AB4-AC4,IF(Q22&gt;AA2,Q22*AB3-AC3,0)))))</f>
        <v>337.27200926136379</v>
      </c>
    </row>
  </sheetData>
  <protectedRanges>
    <protectedRange sqref="H21 D3:E3 I3 H14:H15 H18:I20" name="Intervalo1"/>
    <protectedRange sqref="N10" name="Intervalo1_1_2"/>
  </protectedRanges>
  <mergeCells count="1">
    <mergeCell ref="H22:I22"/>
  </mergeCells>
  <dataValidations count="1">
    <dataValidation type="whole" allowBlank="1" showInputMessage="1" showErrorMessage="1" sqref="N10" xr:uid="{DA404435-5590-43BD-8F76-051BA8059BCB}">
      <formula1>1</formula1>
      <formula2>5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CEEF-0D4F-4DD8-A04E-598490E93DEE}">
  <dimension ref="A1:AB36"/>
  <sheetViews>
    <sheetView topLeftCell="B1" workbookViewId="0">
      <selection activeCell="M11" sqref="M11"/>
    </sheetView>
  </sheetViews>
  <sheetFormatPr defaultRowHeight="15.75" x14ac:dyDescent="0.25"/>
  <cols>
    <col min="1" max="1" width="13.28515625" style="5" hidden="1" customWidth="1"/>
    <col min="2" max="2" width="11.140625" style="5" customWidth="1"/>
    <col min="3" max="3" width="4.7109375" style="5" hidden="1" customWidth="1"/>
    <col min="4" max="5" width="3.28515625" style="5" hidden="1" customWidth="1"/>
    <col min="6" max="6" width="16.85546875" style="5" customWidth="1"/>
    <col min="7" max="7" width="10.140625" style="5" customWidth="1"/>
    <col min="8" max="8" width="14.28515625" style="5" bestFit="1" customWidth="1"/>
    <col min="9" max="9" width="17.5703125" style="5" bestFit="1" customWidth="1"/>
    <col min="10" max="10" width="11.5703125" style="5" bestFit="1" customWidth="1"/>
    <col min="11" max="11" width="9.42578125" style="5" bestFit="1" customWidth="1"/>
    <col min="12" max="12" width="2.28515625" style="5" customWidth="1"/>
    <col min="13" max="13" width="6.28515625" style="5" customWidth="1"/>
    <col min="14" max="14" width="18.85546875" style="5" bestFit="1" customWidth="1"/>
    <col min="15" max="15" width="13.7109375" style="5" bestFit="1" customWidth="1"/>
    <col min="16" max="16" width="13.140625" style="5" bestFit="1" customWidth="1"/>
    <col min="17" max="17" width="20.28515625" style="5" customWidth="1"/>
    <col min="18" max="18" width="9.28515625" style="5" hidden="1" customWidth="1"/>
    <col min="19" max="21" width="9.140625" style="5" hidden="1" customWidth="1"/>
    <col min="22" max="22" width="17.5703125" style="5" customWidth="1"/>
    <col min="23" max="23" width="25.140625" style="5" customWidth="1"/>
    <col min="24" max="24" width="10" style="5" bestFit="1" customWidth="1"/>
    <col min="25" max="25" width="10.42578125" style="5" bestFit="1" customWidth="1"/>
    <col min="26" max="26" width="12.42578125" style="107" customWidth="1"/>
    <col min="27" max="27" width="12.7109375" style="107" customWidth="1"/>
    <col min="28" max="28" width="10.42578125" style="107" bestFit="1" customWidth="1"/>
    <col min="29" max="16384" width="9.140625" style="5"/>
  </cols>
  <sheetData>
    <row r="1" spans="1:28" x14ac:dyDescent="0.25">
      <c r="I1" s="6"/>
      <c r="J1" s="6"/>
      <c r="K1" s="6"/>
      <c r="L1" s="7"/>
      <c r="M1" s="8" t="s">
        <v>46</v>
      </c>
      <c r="N1" s="8"/>
      <c r="O1" s="9"/>
      <c r="P1" s="8" t="s">
        <v>47</v>
      </c>
      <c r="Q1" s="10"/>
      <c r="R1" s="5">
        <f>J16/60</f>
        <v>0</v>
      </c>
      <c r="S1" s="3"/>
      <c r="T1" s="4"/>
      <c r="U1" s="4"/>
      <c r="X1" s="11"/>
      <c r="Y1" s="11" t="s">
        <v>12</v>
      </c>
      <c r="Z1" s="105"/>
      <c r="AA1" s="106"/>
      <c r="AB1" s="105"/>
    </row>
    <row r="2" spans="1:28" ht="16.5" thickBot="1" x14ac:dyDescent="0.3">
      <c r="I2" s="6"/>
      <c r="J2" s="42">
        <v>10518.89</v>
      </c>
      <c r="K2" s="6"/>
      <c r="L2" s="13"/>
      <c r="M2" s="14">
        <v>1</v>
      </c>
      <c r="N2" s="15">
        <v>1621</v>
      </c>
      <c r="O2" s="16">
        <v>7.4999999999999997E-2</v>
      </c>
      <c r="P2" s="15">
        <v>121.58</v>
      </c>
      <c r="Q2" s="17" t="s">
        <v>48</v>
      </c>
      <c r="R2" s="5">
        <f>J17/60</f>
        <v>0</v>
      </c>
      <c r="S2" s="1">
        <v>0</v>
      </c>
      <c r="T2" s="1">
        <v>31</v>
      </c>
      <c r="U2" s="18">
        <f>(J5/T2)*S2</f>
        <v>0</v>
      </c>
      <c r="Z2" s="105">
        <f t="shared" ref="Z2:AB6" si="0">N13</f>
        <v>2428.8000000000002</v>
      </c>
      <c r="AA2" s="106">
        <f t="shared" si="0"/>
        <v>0</v>
      </c>
      <c r="AB2" s="105">
        <f t="shared" si="0"/>
        <v>0</v>
      </c>
    </row>
    <row r="3" spans="1:28" x14ac:dyDescent="0.25">
      <c r="B3" s="20" t="s">
        <v>22</v>
      </c>
      <c r="C3" s="20"/>
      <c r="D3" s="21">
        <v>30</v>
      </c>
      <c r="E3" s="21">
        <v>30</v>
      </c>
      <c r="F3" s="22">
        <f>(J5/E3)*D3</f>
        <v>8475.5499999999993</v>
      </c>
      <c r="G3" s="37"/>
      <c r="I3" s="6" t="s">
        <v>15</v>
      </c>
      <c r="J3" s="23">
        <v>8475.5499999999993</v>
      </c>
      <c r="K3" s="6"/>
      <c r="L3" s="13"/>
      <c r="M3" s="14">
        <v>2</v>
      </c>
      <c r="N3" s="15">
        <v>2902.84</v>
      </c>
      <c r="O3" s="16">
        <v>0.09</v>
      </c>
      <c r="P3" s="15">
        <v>115.37</v>
      </c>
      <c r="Q3" s="17">
        <v>24.32</v>
      </c>
      <c r="R3" s="5">
        <f>J18/60</f>
        <v>0</v>
      </c>
      <c r="S3" s="1">
        <f>S2</f>
        <v>0</v>
      </c>
      <c r="T3" s="1">
        <f>T2</f>
        <v>31</v>
      </c>
      <c r="U3" s="18">
        <f>(A3/T3)*S3</f>
        <v>0</v>
      </c>
      <c r="Z3" s="105">
        <f t="shared" si="0"/>
        <v>2826.65</v>
      </c>
      <c r="AA3" s="106">
        <f t="shared" si="0"/>
        <v>7.4999999999999997E-2</v>
      </c>
      <c r="AB3" s="105">
        <f t="shared" si="0"/>
        <v>182.16</v>
      </c>
    </row>
    <row r="4" spans="1:28" ht="16.5" thickBot="1" x14ac:dyDescent="0.3">
      <c r="F4" s="24">
        <f>F3</f>
        <v>8475.5499999999993</v>
      </c>
      <c r="G4" s="126"/>
      <c r="I4" s="6" t="s">
        <v>16</v>
      </c>
      <c r="J4" s="25">
        <f>I19+I20+I21+I22</f>
        <v>0</v>
      </c>
      <c r="K4" s="6"/>
      <c r="L4" s="13"/>
      <c r="M4" s="14">
        <v>3</v>
      </c>
      <c r="N4" s="15">
        <v>4354.2700000000004</v>
      </c>
      <c r="O4" s="16">
        <v>0.12</v>
      </c>
      <c r="P4" s="15">
        <v>174.17</v>
      </c>
      <c r="Q4" s="17">
        <v>111.4</v>
      </c>
      <c r="S4" s="26">
        <v>0.33333299999999999</v>
      </c>
      <c r="T4" s="27"/>
      <c r="U4" s="18">
        <f>(U2+U3)*S4</f>
        <v>0</v>
      </c>
      <c r="X4" s="11"/>
      <c r="Y4" s="19">
        <f t="shared" ref="Y4:Y6" si="1">M15</f>
        <v>3</v>
      </c>
      <c r="Z4" s="105">
        <f t="shared" si="0"/>
        <v>3751.05</v>
      </c>
      <c r="AA4" s="106">
        <f t="shared" si="0"/>
        <v>0.15</v>
      </c>
      <c r="AB4" s="105">
        <f t="shared" si="0"/>
        <v>394.16</v>
      </c>
    </row>
    <row r="5" spans="1:28" ht="16.5" thickBot="1" x14ac:dyDescent="0.3">
      <c r="B5" s="20" t="s">
        <v>6</v>
      </c>
      <c r="C5" s="20"/>
      <c r="D5" s="20"/>
      <c r="E5" s="20"/>
      <c r="F5" s="28">
        <f>O23</f>
        <v>988.09</v>
      </c>
      <c r="G5" s="127"/>
      <c r="I5" s="5" t="s">
        <v>44</v>
      </c>
      <c r="J5" s="29">
        <f>J3+J4</f>
        <v>8475.5499999999993</v>
      </c>
      <c r="K5" s="6"/>
      <c r="L5" s="13"/>
      <c r="M5" s="14">
        <v>4</v>
      </c>
      <c r="N5" s="15">
        <v>8475.5499999999993</v>
      </c>
      <c r="O5" s="16">
        <v>0.14000000000000001</v>
      </c>
      <c r="P5" s="15">
        <v>576.98</v>
      </c>
      <c r="Q5" s="17">
        <v>198.49</v>
      </c>
      <c r="R5" s="5">
        <f>I16+R1</f>
        <v>0</v>
      </c>
      <c r="S5" s="27"/>
      <c r="T5" s="27"/>
      <c r="U5" s="2">
        <f>U2+U3+U4</f>
        <v>0</v>
      </c>
      <c r="X5" s="11"/>
      <c r="Y5" s="19">
        <f t="shared" si="1"/>
        <v>4</v>
      </c>
      <c r="Z5" s="105">
        <f t="shared" si="0"/>
        <v>4664.68</v>
      </c>
      <c r="AA5" s="106">
        <f t="shared" si="0"/>
        <v>0.22500000000000001</v>
      </c>
      <c r="AB5" s="105">
        <f t="shared" si="0"/>
        <v>675.49</v>
      </c>
    </row>
    <row r="6" spans="1:28" x14ac:dyDescent="0.25">
      <c r="B6" s="20" t="s">
        <v>45</v>
      </c>
      <c r="C6" s="20"/>
      <c r="D6" s="20"/>
      <c r="E6" s="20"/>
      <c r="F6" s="30">
        <f>Q17</f>
        <v>1660.1002199999998</v>
      </c>
      <c r="G6" s="128"/>
      <c r="I6" s="6"/>
      <c r="K6" s="6"/>
      <c r="L6" s="13"/>
      <c r="M6" s="31"/>
      <c r="N6" s="32"/>
      <c r="O6" s="33"/>
      <c r="P6" s="32">
        <v>988.09</v>
      </c>
      <c r="Q6" s="17"/>
      <c r="R6" s="5">
        <f>I17+R2</f>
        <v>0</v>
      </c>
      <c r="X6" s="11"/>
      <c r="Y6" s="19">
        <f t="shared" si="1"/>
        <v>5</v>
      </c>
      <c r="Z6" s="105">
        <f t="shared" si="0"/>
        <v>999999</v>
      </c>
      <c r="AA6" s="106">
        <f t="shared" si="0"/>
        <v>0.27500000000000002</v>
      </c>
      <c r="AB6" s="105">
        <f t="shared" si="0"/>
        <v>908.73</v>
      </c>
    </row>
    <row r="7" spans="1:28" ht="16.5" thickBot="1" x14ac:dyDescent="0.3">
      <c r="A7" s="34"/>
      <c r="I7" s="20" t="s">
        <v>18</v>
      </c>
      <c r="J7" s="15">
        <f>J3/220</f>
        <v>38.525227272727271</v>
      </c>
      <c r="K7" s="6"/>
      <c r="L7" s="13"/>
      <c r="N7" s="32" t="s">
        <v>49</v>
      </c>
      <c r="O7" s="32"/>
      <c r="P7" s="32"/>
      <c r="Q7" s="17"/>
      <c r="R7" s="5">
        <f>I18+R3</f>
        <v>0</v>
      </c>
      <c r="X7" s="32"/>
      <c r="Y7" s="32"/>
      <c r="Z7" s="105"/>
      <c r="AA7" s="106"/>
      <c r="AB7" s="105"/>
    </row>
    <row r="8" spans="1:28" ht="16.5" thickBot="1" x14ac:dyDescent="0.3">
      <c r="B8" s="5" t="s">
        <v>23</v>
      </c>
      <c r="F8" s="35">
        <f>F3-F5-F6</f>
        <v>5827.3597799999989</v>
      </c>
      <c r="G8" s="128"/>
      <c r="K8" s="36"/>
      <c r="L8" s="13"/>
      <c r="N8" s="15">
        <v>1980.38</v>
      </c>
      <c r="O8" s="15">
        <v>67.540000000000006</v>
      </c>
      <c r="P8" s="32"/>
      <c r="Q8" s="17"/>
    </row>
    <row r="9" spans="1:28" x14ac:dyDescent="0.25">
      <c r="F9" s="25"/>
      <c r="G9" s="25"/>
      <c r="I9" s="38" t="s">
        <v>7</v>
      </c>
      <c r="J9" s="39">
        <f>O21*8%</f>
        <v>678.04399999999998</v>
      </c>
      <c r="L9" s="13"/>
      <c r="M9" s="32" t="s">
        <v>50</v>
      </c>
      <c r="N9" s="32"/>
      <c r="O9" s="33"/>
      <c r="P9" s="32"/>
      <c r="Q9" s="17"/>
      <c r="X9" s="32"/>
      <c r="Y9" s="32"/>
      <c r="Z9" s="105"/>
      <c r="AA9" s="106"/>
      <c r="AB9" s="105"/>
    </row>
    <row r="10" spans="1:28" x14ac:dyDescent="0.25">
      <c r="H10" s="37"/>
      <c r="L10" s="13"/>
      <c r="M10" s="109">
        <v>1</v>
      </c>
      <c r="N10" s="110">
        <v>189.59</v>
      </c>
      <c r="O10" s="111" t="s">
        <v>10</v>
      </c>
      <c r="P10" s="112">
        <v>607.20000000000005</v>
      </c>
      <c r="Q10" s="123">
        <v>0.13314500000000001</v>
      </c>
      <c r="AA10" s="106"/>
      <c r="AB10" s="105"/>
    </row>
    <row r="11" spans="1:28" x14ac:dyDescent="0.25">
      <c r="B11" s="129"/>
      <c r="C11" s="129"/>
      <c r="D11" s="129"/>
      <c r="E11" s="129"/>
      <c r="F11" s="129"/>
      <c r="I11" s="5" t="s">
        <v>19</v>
      </c>
      <c r="L11" s="13"/>
      <c r="M11" s="113"/>
      <c r="N11" s="114"/>
      <c r="O11" s="115"/>
      <c r="P11" s="114"/>
      <c r="Q11" s="124">
        <v>978.62</v>
      </c>
      <c r="AA11" s="106"/>
      <c r="AB11" s="105"/>
    </row>
    <row r="12" spans="1:28" x14ac:dyDescent="0.25">
      <c r="B12" s="129" t="s">
        <v>22</v>
      </c>
      <c r="C12" s="129"/>
      <c r="D12" s="130">
        <v>30</v>
      </c>
      <c r="E12" s="130">
        <v>30</v>
      </c>
      <c r="F12" s="131">
        <f>J2</f>
        <v>10518.89</v>
      </c>
      <c r="G12" s="37"/>
      <c r="I12" s="42">
        <v>23</v>
      </c>
      <c r="L12" s="13"/>
      <c r="M12" s="69" t="s">
        <v>12</v>
      </c>
      <c r="N12" s="69"/>
      <c r="O12" s="116"/>
      <c r="P12" s="69"/>
      <c r="Q12" s="125"/>
      <c r="X12" s="32"/>
      <c r="Y12" s="31"/>
      <c r="Z12" s="105"/>
      <c r="AA12" s="106"/>
      <c r="AB12" s="105"/>
    </row>
    <row r="13" spans="1:28" x14ac:dyDescent="0.25">
      <c r="B13" s="129"/>
      <c r="C13" s="129"/>
      <c r="D13" s="129"/>
      <c r="E13" s="129"/>
      <c r="F13" s="132"/>
      <c r="G13" s="126"/>
      <c r="I13" s="42">
        <v>7</v>
      </c>
      <c r="L13" s="13"/>
      <c r="M13" s="117">
        <v>1</v>
      </c>
      <c r="N13" s="118">
        <v>2428.8000000000002</v>
      </c>
      <c r="O13" s="119">
        <v>0</v>
      </c>
      <c r="P13" s="118">
        <v>0</v>
      </c>
      <c r="Q13" s="125">
        <f>P27*Q10</f>
        <v>1400.5376090500001</v>
      </c>
      <c r="X13" s="32"/>
      <c r="Y13" s="31"/>
      <c r="Z13" s="105"/>
      <c r="AA13" s="106"/>
      <c r="AB13" s="105"/>
    </row>
    <row r="14" spans="1:28" x14ac:dyDescent="0.25">
      <c r="B14" s="129" t="s">
        <v>6</v>
      </c>
      <c r="C14" s="129"/>
      <c r="D14" s="129"/>
      <c r="E14" s="129"/>
      <c r="F14" s="132">
        <f>F5</f>
        <v>988.09</v>
      </c>
      <c r="G14" s="127"/>
      <c r="L14" s="13"/>
      <c r="M14" s="117">
        <v>2</v>
      </c>
      <c r="N14" s="118">
        <v>2826.65</v>
      </c>
      <c r="O14" s="119">
        <v>7.4999999999999997E-2</v>
      </c>
      <c r="P14" s="118">
        <v>182.16</v>
      </c>
      <c r="Q14" s="125">
        <f>IF(P28&lt;Y29,Q11-Q13,0)</f>
        <v>0</v>
      </c>
      <c r="V14" s="25"/>
    </row>
    <row r="15" spans="1:28" x14ac:dyDescent="0.25">
      <c r="B15" s="129" t="s">
        <v>45</v>
      </c>
      <c r="C15" s="129"/>
      <c r="D15" s="129"/>
      <c r="E15" s="129"/>
      <c r="F15" s="133">
        <v>0</v>
      </c>
      <c r="G15" s="128"/>
      <c r="I15" s="5" t="s">
        <v>21</v>
      </c>
      <c r="J15" s="5" t="s">
        <v>20</v>
      </c>
      <c r="L15" s="13"/>
      <c r="M15" s="117">
        <v>3</v>
      </c>
      <c r="N15" s="118">
        <v>3751.05</v>
      </c>
      <c r="O15" s="119">
        <v>0.15</v>
      </c>
      <c r="P15" s="118">
        <v>394.16</v>
      </c>
      <c r="Q15" s="17">
        <f>P29</f>
        <v>1660.1002199999998</v>
      </c>
      <c r="V15" s="25"/>
    </row>
    <row r="16" spans="1:28" x14ac:dyDescent="0.25">
      <c r="B16" s="129"/>
      <c r="C16" s="129"/>
      <c r="D16" s="129"/>
      <c r="E16" s="129"/>
      <c r="F16" s="129"/>
      <c r="H16" s="44">
        <v>0.5</v>
      </c>
      <c r="I16" s="45"/>
      <c r="J16" s="45"/>
      <c r="L16" s="13"/>
      <c r="M16" s="117">
        <v>4</v>
      </c>
      <c r="N16" s="118">
        <v>4664.68</v>
      </c>
      <c r="O16" s="119">
        <v>0.22500000000000001</v>
      </c>
      <c r="P16" s="118">
        <v>675.49</v>
      </c>
      <c r="Q16" s="17">
        <f>Q15-Q14</f>
        <v>1660.1002199999998</v>
      </c>
      <c r="V16" s="25"/>
    </row>
    <row r="17" spans="2:28" x14ac:dyDescent="0.25">
      <c r="B17" s="129" t="s">
        <v>23</v>
      </c>
      <c r="C17" s="129"/>
      <c r="D17" s="129"/>
      <c r="E17" s="129"/>
      <c r="F17" s="133">
        <v>4857.8071762999998</v>
      </c>
      <c r="G17" s="128"/>
      <c r="H17" s="44">
        <v>1</v>
      </c>
      <c r="I17" s="45"/>
      <c r="J17" s="45"/>
      <c r="L17" s="13"/>
      <c r="M17" s="117">
        <v>5</v>
      </c>
      <c r="N17" s="118">
        <v>999999</v>
      </c>
      <c r="O17" s="120">
        <v>0.27500000000000002</v>
      </c>
      <c r="P17" s="118">
        <v>908.73</v>
      </c>
      <c r="Q17" s="17">
        <f>IF(Q16&lt;10,0,Q16)</f>
        <v>1660.1002199999998</v>
      </c>
      <c r="W17" s="5" t="s">
        <v>38</v>
      </c>
      <c r="X17" s="11"/>
      <c r="Y17" s="105">
        <v>2057.59</v>
      </c>
      <c r="Z17" s="105">
        <v>6.08</v>
      </c>
      <c r="AA17" s="106">
        <f>O13</f>
        <v>0</v>
      </c>
      <c r="AB17" s="105">
        <v>1927.02</v>
      </c>
    </row>
    <row r="18" spans="2:28" ht="16.5" thickBot="1" x14ac:dyDescent="0.3">
      <c r="B18" s="129"/>
      <c r="C18" s="129"/>
      <c r="D18" s="129"/>
      <c r="E18" s="129"/>
      <c r="F18" s="134">
        <v>-1057.8071762999998</v>
      </c>
      <c r="G18" s="25"/>
      <c r="H18" s="5" t="s">
        <v>17</v>
      </c>
      <c r="I18" s="45"/>
      <c r="J18" s="45"/>
      <c r="L18" s="46"/>
      <c r="M18" s="47"/>
      <c r="N18" s="47"/>
      <c r="O18" s="48"/>
      <c r="P18" s="47"/>
      <c r="Q18" s="49">
        <f>IF(Q16&gt;Q15,Q15,Q16)</f>
        <v>1660.1002199999998</v>
      </c>
      <c r="W18" s="5" t="s">
        <v>37</v>
      </c>
      <c r="X18" s="11"/>
      <c r="Y18" s="105">
        <v>1984.16</v>
      </c>
      <c r="Z18" s="105">
        <v>6.85</v>
      </c>
      <c r="AA18" s="106">
        <f>O14</f>
        <v>7.4999999999999997E-2</v>
      </c>
      <c r="AB18" s="105">
        <v>1856.94</v>
      </c>
    </row>
    <row r="19" spans="2:28" ht="16.5" thickBot="1" x14ac:dyDescent="0.3">
      <c r="B19" s="129"/>
      <c r="C19" s="129"/>
      <c r="D19" s="129"/>
      <c r="E19" s="129"/>
      <c r="F19" s="129"/>
      <c r="H19" s="20" t="s">
        <v>11</v>
      </c>
      <c r="I19" s="59">
        <f>J19*R5</f>
        <v>0</v>
      </c>
      <c r="J19" s="60">
        <f>(J7*50%)+J7</f>
        <v>57.787840909090903</v>
      </c>
    </row>
    <row r="20" spans="2:28" x14ac:dyDescent="0.25">
      <c r="H20" s="20" t="s">
        <v>13</v>
      </c>
      <c r="I20" s="59">
        <f>J20*R6</f>
        <v>0</v>
      </c>
      <c r="J20" s="60">
        <f>(J7*100%)+J7</f>
        <v>77.050454545454542</v>
      </c>
      <c r="N20" s="7" t="s">
        <v>0</v>
      </c>
      <c r="O20" s="8" t="s">
        <v>1</v>
      </c>
      <c r="P20" s="10" t="s">
        <v>2</v>
      </c>
      <c r="Y20" s="5" t="s">
        <v>39</v>
      </c>
      <c r="Z20" s="121">
        <v>3395</v>
      </c>
    </row>
    <row r="21" spans="2:28" x14ac:dyDescent="0.25">
      <c r="H21" s="20" t="s">
        <v>14</v>
      </c>
      <c r="I21" s="59">
        <f>((I19+I20)/I12)*I13</f>
        <v>0</v>
      </c>
      <c r="J21" s="20"/>
      <c r="N21" s="13">
        <f>U5+F4+P35</f>
        <v>8475.5499999999993</v>
      </c>
      <c r="O21" s="32">
        <f>N21</f>
        <v>8475.5499999999993</v>
      </c>
      <c r="P21" s="50">
        <f>O21</f>
        <v>8475.5499999999993</v>
      </c>
    </row>
    <row r="22" spans="2:28" x14ac:dyDescent="0.25">
      <c r="H22" s="20" t="s">
        <v>17</v>
      </c>
      <c r="I22" s="59">
        <f>J22*R7</f>
        <v>0</v>
      </c>
      <c r="J22" s="60">
        <f>(J7*20%)</f>
        <v>7.7050454545454548</v>
      </c>
      <c r="N22" s="13">
        <v>7087.22</v>
      </c>
      <c r="O22" s="51">
        <f>IF(N21&gt;N5,P6,IF(N21&gt;N4,(N21-N4)*O5+P4+P3+P2,IF(N21&gt;N3,(N21-N3)*O4+P3+P2,IF(N21&gt;N2,(N21-N2)*O3+P2,N21*O2))))</f>
        <v>988.09919999999988</v>
      </c>
      <c r="P22" s="17">
        <f>P21-O22-O24</f>
        <v>7297.8607999999995</v>
      </c>
    </row>
    <row r="23" spans="2:28" ht="16.5" thickBot="1" x14ac:dyDescent="0.3">
      <c r="N23" s="52"/>
      <c r="O23" s="53">
        <f>IF(O22&gt;$P$6,$P$6,O22)</f>
        <v>988.09</v>
      </c>
      <c r="P23" s="54">
        <f>IF(P33&gt;P32,P32,P33)</f>
        <v>1660.1002199999998</v>
      </c>
    </row>
    <row r="24" spans="2:28" x14ac:dyDescent="0.25">
      <c r="B24" s="20" t="s">
        <v>22</v>
      </c>
      <c r="C24" s="20"/>
      <c r="D24" s="21">
        <v>30</v>
      </c>
      <c r="E24" s="21">
        <v>30</v>
      </c>
      <c r="F24" s="22">
        <f>J2</f>
        <v>10518.89</v>
      </c>
      <c r="N24" s="55" t="s">
        <v>3</v>
      </c>
      <c r="O24" s="56">
        <f>M10*N10</f>
        <v>189.59</v>
      </c>
      <c r="P24" s="55"/>
    </row>
    <row r="25" spans="2:28" ht="16.5" thickBot="1" x14ac:dyDescent="0.3">
      <c r="F25" s="24"/>
      <c r="N25" s="32"/>
      <c r="O25" s="51"/>
      <c r="P25" s="32"/>
    </row>
    <row r="26" spans="2:28" x14ac:dyDescent="0.25">
      <c r="B26" s="20" t="s">
        <v>6</v>
      </c>
      <c r="C26" s="20"/>
      <c r="D26" s="20"/>
      <c r="E26" s="20"/>
      <c r="F26" s="28">
        <f>F5</f>
        <v>988.09</v>
      </c>
      <c r="N26" s="7" t="s">
        <v>0</v>
      </c>
      <c r="O26" s="8" t="s">
        <v>1</v>
      </c>
      <c r="P26" s="10" t="s">
        <v>2</v>
      </c>
    </row>
    <row r="27" spans="2:28" x14ac:dyDescent="0.25">
      <c r="B27" s="20" t="s">
        <v>45</v>
      </c>
      <c r="C27" s="20"/>
      <c r="D27" s="20"/>
      <c r="E27" s="20"/>
      <c r="F27" s="30">
        <f>IF(Q16&gt;Q15,Q15,Q16)</f>
        <v>1660.1002199999998</v>
      </c>
      <c r="N27" s="13">
        <f>F12</f>
        <v>10518.89</v>
      </c>
      <c r="O27" s="32">
        <f>N27</f>
        <v>10518.89</v>
      </c>
      <c r="P27" s="50">
        <f>O27</f>
        <v>10518.89</v>
      </c>
    </row>
    <row r="28" spans="2:28" ht="16.5" thickBot="1" x14ac:dyDescent="0.3">
      <c r="N28" s="13">
        <v>7087.22</v>
      </c>
      <c r="O28" s="51">
        <f>IF(N27&gt;N5,P6,IF(N27&gt;N4,(N27-N4)*O5+P4+P3+P2,IF(N27&gt;N3,(N27-N3)*O4+P3+P2,IF(N27&gt;N2,(N27-N2)*O3+P2,N27*O2))))</f>
        <v>988.09</v>
      </c>
      <c r="P28" s="17">
        <f>P27-O22-O24</f>
        <v>9341.2007999999987</v>
      </c>
    </row>
    <row r="29" spans="2:28" ht="16.5" thickBot="1" x14ac:dyDescent="0.3">
      <c r="B29" s="5" t="s">
        <v>23</v>
      </c>
      <c r="F29" s="35">
        <f>F24-F26-F27</f>
        <v>7870.699779999999</v>
      </c>
      <c r="G29" s="45">
        <v>2</v>
      </c>
      <c r="H29" s="135">
        <v>0</v>
      </c>
      <c r="I29" s="31"/>
      <c r="J29" s="32"/>
      <c r="N29" s="52"/>
      <c r="O29" s="53">
        <f>IF(O28&gt;$P$6,$P$6,O28)</f>
        <v>988.09</v>
      </c>
      <c r="P29" s="54">
        <f>IF(P33&gt;P32,P32,P33)</f>
        <v>1660.1002199999998</v>
      </c>
      <c r="X29" s="5" t="s">
        <v>43</v>
      </c>
      <c r="Y29" s="42">
        <v>7350</v>
      </c>
    </row>
    <row r="30" spans="2:28" x14ac:dyDescent="0.25">
      <c r="F30" s="128">
        <f>F29-G29-H29</f>
        <v>7868.699779999999</v>
      </c>
      <c r="G30" s="3"/>
      <c r="H30" s="32"/>
      <c r="I30" s="31"/>
      <c r="J30" s="32"/>
      <c r="N30" s="55" t="s">
        <v>3</v>
      </c>
      <c r="O30" s="56">
        <f>O24</f>
        <v>189.59</v>
      </c>
      <c r="P30" s="55"/>
    </row>
    <row r="31" spans="2:28" x14ac:dyDescent="0.25">
      <c r="H31" s="32"/>
      <c r="I31" s="31"/>
      <c r="J31" s="32"/>
      <c r="N31" s="32"/>
      <c r="O31" s="51"/>
      <c r="P31" s="32"/>
    </row>
    <row r="32" spans="2:28" x14ac:dyDescent="0.25">
      <c r="G32" s="6"/>
      <c r="N32" s="25">
        <f>P27-P10</f>
        <v>9911.6899999999987</v>
      </c>
      <c r="O32" s="31"/>
      <c r="P32" s="15">
        <f>IF(N32&lt;Z2,0,IF(N32&lt;Z3,N32*AA3-AB3,IF(N32&lt;Z4,N32*AA4-AB4,IF(N32&lt;Z5,N32*AA5-AB5,N32*AA6-AB6))))</f>
        <v>1816.9847499999996</v>
      </c>
    </row>
    <row r="33" spans="14:28" x14ac:dyDescent="0.25">
      <c r="N33" s="32"/>
      <c r="O33" s="31"/>
      <c r="P33" s="15">
        <f>IF(P28&gt;Z6,P28*AA6-AB6,IF(P28&gt;Z5,P28*AA6-AB6,IF(P28&gt;Z4,P28*AA5-AB5,IF(P28&gt;Z3,P28*AA4-AB4,IF(P28&gt;Z2,P28*AA3-AB3,0)))))</f>
        <v>1660.1002199999998</v>
      </c>
    </row>
    <row r="34" spans="14:28" x14ac:dyDescent="0.25">
      <c r="Q34" s="57"/>
    </row>
    <row r="35" spans="14:28" s="3" customFormat="1" hidden="1" x14ac:dyDescent="0.25">
      <c r="P35" s="58"/>
      <c r="Q35" s="58"/>
      <c r="Z35" s="108"/>
      <c r="AA35" s="108"/>
      <c r="AB35" s="108"/>
    </row>
    <row r="36" spans="14:28" hidden="1" x14ac:dyDescent="0.25"/>
  </sheetData>
  <protectedRanges>
    <protectedRange sqref="D24:E24 D3:E3 J3 I12:I13 I16:J18 D12:E12" name="Intervalo1"/>
    <protectedRange sqref="M10" name="Intervalo1_1_2"/>
  </protectedRanges>
  <dataValidations count="1">
    <dataValidation type="whole" allowBlank="1" showInputMessage="1" showErrorMessage="1" sqref="M10" xr:uid="{3EB113C9-2AA9-402B-AD27-7F2826B59E1C}">
      <formula1>1</formula1>
      <formula2>5</formula2>
    </dataValidation>
  </dataValidation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5B24-BB23-4B97-8B0B-26E0BA23DE0A}">
  <dimension ref="A1:V44"/>
  <sheetViews>
    <sheetView workbookViewId="0">
      <selection activeCell="G4" sqref="G4"/>
    </sheetView>
  </sheetViews>
  <sheetFormatPr defaultRowHeight="15" x14ac:dyDescent="0.25"/>
  <cols>
    <col min="1" max="1" width="5.85546875" bestFit="1" customWidth="1"/>
    <col min="2" max="2" width="14.85546875" customWidth="1"/>
    <col min="3" max="3" width="13.42578125" customWidth="1"/>
    <col min="4" max="4" width="11.140625" customWidth="1"/>
    <col min="5" max="5" width="5.7109375" customWidth="1"/>
    <col min="6" max="6" width="13.5703125" customWidth="1"/>
    <col min="7" max="7" width="10.5703125" bestFit="1" customWidth="1"/>
    <col min="11" max="11" width="8.5703125" customWidth="1"/>
    <col min="14" max="14" width="9.5703125" bestFit="1" customWidth="1"/>
    <col min="15" max="15" width="10.5703125" bestFit="1" customWidth="1"/>
    <col min="16" max="16" width="9.5703125" bestFit="1" customWidth="1"/>
    <col min="18" max="18" width="9.5703125" bestFit="1" customWidth="1"/>
    <col min="21" max="21" width="9.5703125" bestFit="1" customWidth="1"/>
  </cols>
  <sheetData>
    <row r="1" spans="1:22" x14ac:dyDescent="0.25">
      <c r="A1" s="65"/>
      <c r="B1" s="141" t="s">
        <v>24</v>
      </c>
      <c r="C1" s="141"/>
      <c r="D1" s="141"/>
      <c r="E1" s="141"/>
      <c r="F1" s="141"/>
      <c r="G1" s="141"/>
      <c r="H1" s="66"/>
      <c r="I1" s="67"/>
    </row>
    <row r="2" spans="1:22" x14ac:dyDescent="0.25">
      <c r="A2" s="68"/>
      <c r="B2" s="69"/>
      <c r="C2" s="69"/>
      <c r="D2" s="69"/>
      <c r="E2" s="69"/>
      <c r="F2" s="69"/>
      <c r="G2" s="69"/>
      <c r="H2" s="70"/>
      <c r="I2" s="71"/>
    </row>
    <row r="3" spans="1:22" x14ac:dyDescent="0.25">
      <c r="A3" s="72" t="e">
        <f>#REF!-28.31</f>
        <v>#REF!</v>
      </c>
      <c r="B3" s="69"/>
      <c r="C3" s="69"/>
      <c r="D3" s="69"/>
      <c r="E3" s="69"/>
      <c r="F3" s="69" t="s">
        <v>42</v>
      </c>
      <c r="G3" s="73">
        <f>594.56+135.93+932.28+932.29+96.77+27.18+8156.52+29.73</f>
        <v>10905.26</v>
      </c>
      <c r="H3" s="70"/>
      <c r="I3" s="71"/>
      <c r="K3">
        <v>654</v>
      </c>
      <c r="L3" t="s">
        <v>41</v>
      </c>
      <c r="P3" t="s">
        <v>31</v>
      </c>
      <c r="R3" t="s">
        <v>32</v>
      </c>
    </row>
    <row r="4" spans="1:22" x14ac:dyDescent="0.25">
      <c r="A4" s="68"/>
      <c r="B4" s="69" t="s">
        <v>25</v>
      </c>
      <c r="C4" s="69"/>
      <c r="D4" s="69"/>
      <c r="E4" s="69"/>
      <c r="F4" s="69"/>
      <c r="G4" s="69"/>
      <c r="H4" s="70"/>
      <c r="I4" s="71"/>
      <c r="P4" s="92">
        <v>7</v>
      </c>
      <c r="Q4" s="92">
        <v>5</v>
      </c>
      <c r="R4" s="89">
        <v>2149.17</v>
      </c>
      <c r="S4" s="90">
        <v>220</v>
      </c>
      <c r="U4" s="90">
        <v>2149.17</v>
      </c>
    </row>
    <row r="5" spans="1:22" x14ac:dyDescent="0.25">
      <c r="A5" s="68"/>
      <c r="B5" s="69"/>
      <c r="C5" s="69"/>
      <c r="D5" s="69"/>
      <c r="E5" s="69"/>
      <c r="F5" s="69"/>
      <c r="G5" s="69"/>
      <c r="H5" s="70"/>
      <c r="I5" s="71"/>
      <c r="P5" s="93">
        <f>P4</f>
        <v>7</v>
      </c>
      <c r="Q5" s="91">
        <f>Q4/60</f>
        <v>8.3333333333333329E-2</v>
      </c>
      <c r="R5" s="90">
        <f>R4/S4</f>
        <v>9.7689545454545463</v>
      </c>
      <c r="S5" s="90"/>
      <c r="U5" s="90">
        <f>U4/44</f>
        <v>48.844772727272726</v>
      </c>
    </row>
    <row r="6" spans="1:22" x14ac:dyDescent="0.25">
      <c r="A6" s="68"/>
      <c r="B6" s="69" t="s">
        <v>26</v>
      </c>
      <c r="C6" s="69"/>
      <c r="D6" s="74">
        <f>29407.57+454.88</f>
        <v>29862.45</v>
      </c>
      <c r="E6" s="69"/>
      <c r="F6" s="69"/>
      <c r="G6" s="69"/>
      <c r="H6" s="70"/>
      <c r="I6" s="71"/>
      <c r="P6" s="142">
        <f>P5+Q5</f>
        <v>7.083333333333333</v>
      </c>
      <c r="Q6" s="142"/>
      <c r="R6" s="95">
        <f>P6*R5</f>
        <v>69.196761363636369</v>
      </c>
      <c r="U6" s="90">
        <f>U5*V6</f>
        <v>1660.7222727272726</v>
      </c>
      <c r="V6">
        <v>34</v>
      </c>
    </row>
    <row r="7" spans="1:22" ht="17.25" x14ac:dyDescent="0.4">
      <c r="A7" s="68"/>
      <c r="B7" s="69" t="s">
        <v>27</v>
      </c>
      <c r="C7" s="69"/>
      <c r="D7" s="75">
        <f>G11</f>
        <v>872.42079999999999</v>
      </c>
      <c r="E7" s="69"/>
      <c r="F7" s="69"/>
      <c r="G7" s="69"/>
      <c r="H7" s="70"/>
      <c r="I7" s="71"/>
      <c r="R7" s="94"/>
    </row>
    <row r="8" spans="1:22" x14ac:dyDescent="0.25">
      <c r="A8" s="68"/>
      <c r="B8" s="69"/>
      <c r="C8" s="69"/>
      <c r="D8" s="76">
        <f>D6+D7</f>
        <v>30734.870800000001</v>
      </c>
      <c r="E8" s="69"/>
      <c r="F8" s="69"/>
      <c r="G8" s="69"/>
      <c r="H8" s="70"/>
      <c r="I8" s="71"/>
    </row>
    <row r="9" spans="1:22" x14ac:dyDescent="0.25">
      <c r="A9" s="68"/>
      <c r="B9" s="69" t="s">
        <v>28</v>
      </c>
      <c r="C9" s="77">
        <v>0.4</v>
      </c>
      <c r="D9" s="78">
        <f>D8*C9</f>
        <v>12293.948320000001</v>
      </c>
      <c r="E9" s="69"/>
      <c r="F9" s="69"/>
      <c r="G9" s="69"/>
      <c r="H9" s="70"/>
      <c r="I9" s="71"/>
    </row>
    <row r="10" spans="1:22" ht="17.25" x14ac:dyDescent="0.4">
      <c r="A10" s="68"/>
      <c r="B10" s="78" t="s">
        <v>29</v>
      </c>
      <c r="C10" s="69"/>
      <c r="D10" s="79">
        <f>D9+D7</f>
        <v>13166.369120000001</v>
      </c>
      <c r="E10" s="69"/>
      <c r="F10" s="69"/>
      <c r="G10" s="80">
        <f>SUM(G3:G9)</f>
        <v>10905.26</v>
      </c>
      <c r="H10" s="70"/>
      <c r="I10" s="71"/>
      <c r="Q10" s="88"/>
    </row>
    <row r="11" spans="1:22" ht="17.25" x14ac:dyDescent="0.4">
      <c r="A11" s="68"/>
      <c r="B11" s="69"/>
      <c r="C11" s="69"/>
      <c r="D11" s="69"/>
      <c r="E11" s="69"/>
      <c r="F11" s="69"/>
      <c r="G11" s="69">
        <f>G10*8%</f>
        <v>872.42079999999999</v>
      </c>
      <c r="H11" s="81" t="s">
        <v>30</v>
      </c>
      <c r="I11" s="71"/>
      <c r="M11" s="97" t="s">
        <v>33</v>
      </c>
      <c r="N11" s="97"/>
      <c r="O11" s="98">
        <v>1499</v>
      </c>
      <c r="P11" s="97"/>
      <c r="Q11" s="88"/>
    </row>
    <row r="12" spans="1:22" x14ac:dyDescent="0.25">
      <c r="A12" s="68"/>
      <c r="B12" s="69"/>
      <c r="C12" s="69"/>
      <c r="D12" s="69"/>
      <c r="E12" s="69"/>
      <c r="F12" s="69"/>
      <c r="G12" s="69"/>
      <c r="H12" s="70"/>
      <c r="I12" s="71"/>
      <c r="M12" s="97" t="s">
        <v>34</v>
      </c>
      <c r="N12" s="99">
        <v>5</v>
      </c>
      <c r="O12" s="99">
        <v>26</v>
      </c>
      <c r="P12" s="97"/>
      <c r="Q12" s="88"/>
    </row>
    <row r="13" spans="1:22" ht="15.75" thickBot="1" x14ac:dyDescent="0.3">
      <c r="A13" s="82"/>
      <c r="B13" s="83"/>
      <c r="C13" s="83"/>
      <c r="D13" s="83"/>
      <c r="E13" s="83"/>
      <c r="F13" s="83"/>
      <c r="G13" s="83"/>
      <c r="H13" s="84"/>
      <c r="I13" s="85"/>
      <c r="M13" s="97"/>
      <c r="N13" s="100">
        <f>O11</f>
        <v>1499</v>
      </c>
      <c r="O13" s="101">
        <f>N13/O12*N12</f>
        <v>288.26923076923077</v>
      </c>
      <c r="P13" s="102">
        <f>N13+O13</f>
        <v>1787.2692307692307</v>
      </c>
      <c r="S13">
        <v>1518</v>
      </c>
      <c r="T13" s="136">
        <v>6.7599800000000002E-2</v>
      </c>
    </row>
    <row r="14" spans="1:22" x14ac:dyDescent="0.25">
      <c r="O14" s="103"/>
      <c r="S14">
        <v>1621</v>
      </c>
      <c r="T14">
        <f>S13*T13</f>
        <v>102.6164964</v>
      </c>
      <c r="U14">
        <f>S13+T14</f>
        <v>1620.6164964</v>
      </c>
    </row>
    <row r="15" spans="1:22" x14ac:dyDescent="0.25">
      <c r="N15" s="104">
        <v>4265.49</v>
      </c>
      <c r="P15" t="s">
        <v>35</v>
      </c>
    </row>
    <row r="16" spans="1:22" x14ac:dyDescent="0.25">
      <c r="N16">
        <f>N15-2582.37</f>
        <v>1683.12</v>
      </c>
      <c r="O16" t="s">
        <v>36</v>
      </c>
    </row>
    <row r="17" spans="2:14" x14ac:dyDescent="0.25">
      <c r="N17" s="94">
        <f>P13-N16</f>
        <v>104.14923076923083</v>
      </c>
    </row>
    <row r="19" spans="2:14" ht="22.5" x14ac:dyDescent="0.25">
      <c r="B19" s="86" t="s">
        <v>40</v>
      </c>
      <c r="C19" s="87">
        <v>45862</v>
      </c>
      <c r="D19" s="87">
        <v>45921</v>
      </c>
      <c r="E19">
        <f>D19-C19</f>
        <v>59</v>
      </c>
      <c r="F19">
        <v>1</v>
      </c>
      <c r="G19">
        <v>120</v>
      </c>
      <c r="K19" s="88"/>
    </row>
    <row r="20" spans="2:14" x14ac:dyDescent="0.25">
      <c r="C20" s="87">
        <v>45922</v>
      </c>
      <c r="D20" s="87">
        <v>46090</v>
      </c>
      <c r="E20">
        <f>D20-C20</f>
        <v>168</v>
      </c>
      <c r="F20">
        <v>2</v>
      </c>
      <c r="G20">
        <v>60</v>
      </c>
      <c r="K20" s="88"/>
    </row>
    <row r="21" spans="2:14" x14ac:dyDescent="0.25">
      <c r="C21" s="87"/>
      <c r="D21" s="87"/>
      <c r="E21">
        <f>E19+E20</f>
        <v>227</v>
      </c>
      <c r="F21">
        <f>E21-G21</f>
        <v>47</v>
      </c>
      <c r="G21">
        <f>G19+G20</f>
        <v>180</v>
      </c>
    </row>
    <row r="22" spans="2:14" x14ac:dyDescent="0.25">
      <c r="C22" s="87"/>
      <c r="D22" s="87"/>
      <c r="E22">
        <f>E21-15</f>
        <v>212</v>
      </c>
      <c r="F22">
        <f>E22-G21</f>
        <v>32</v>
      </c>
    </row>
    <row r="23" spans="2:14" x14ac:dyDescent="0.25">
      <c r="C23" s="87"/>
      <c r="D23" s="87"/>
    </row>
    <row r="24" spans="2:14" x14ac:dyDescent="0.25">
      <c r="C24" s="87"/>
      <c r="D24" s="87"/>
    </row>
    <row r="25" spans="2:14" x14ac:dyDescent="0.25">
      <c r="C25" s="87"/>
      <c r="D25" s="87"/>
      <c r="N25" s="96"/>
    </row>
    <row r="26" spans="2:14" x14ac:dyDescent="0.25">
      <c r="C26" s="87"/>
      <c r="D26" s="87"/>
      <c r="N26" s="96"/>
    </row>
    <row r="27" spans="2:14" x14ac:dyDescent="0.25">
      <c r="C27" s="87"/>
      <c r="D27" s="87"/>
    </row>
    <row r="28" spans="2:14" x14ac:dyDescent="0.25">
      <c r="C28" s="87"/>
      <c r="D28" s="87"/>
    </row>
    <row r="29" spans="2:14" x14ac:dyDescent="0.25">
      <c r="C29" s="87"/>
      <c r="D29" s="87"/>
    </row>
    <row r="30" spans="2:14" x14ac:dyDescent="0.25">
      <c r="C30" s="87"/>
      <c r="D30" s="87"/>
    </row>
    <row r="32" spans="2:14" x14ac:dyDescent="0.25">
      <c r="C32" s="122">
        <v>45209</v>
      </c>
      <c r="D32">
        <v>29</v>
      </c>
      <c r="E32" s="87">
        <f>C32+D32</f>
        <v>45238</v>
      </c>
      <c r="F32">
        <v>1</v>
      </c>
    </row>
    <row r="33" spans="3:6" x14ac:dyDescent="0.25">
      <c r="C33" s="87">
        <f>E32+1</f>
        <v>45239</v>
      </c>
      <c r="D33">
        <v>29</v>
      </c>
      <c r="E33" s="87">
        <f t="shared" ref="E33:E43" si="0">C33+D33</f>
        <v>45268</v>
      </c>
      <c r="F33">
        <v>2</v>
      </c>
    </row>
    <row r="34" spans="3:6" x14ac:dyDescent="0.25">
      <c r="C34" s="87">
        <f t="shared" ref="C34:C43" si="1">E33+1</f>
        <v>45269</v>
      </c>
      <c r="D34">
        <v>29</v>
      </c>
      <c r="E34" s="87">
        <f t="shared" si="0"/>
        <v>45298</v>
      </c>
      <c r="F34">
        <v>3</v>
      </c>
    </row>
    <row r="35" spans="3:6" x14ac:dyDescent="0.25">
      <c r="C35" s="87">
        <f t="shared" si="1"/>
        <v>45299</v>
      </c>
      <c r="D35">
        <v>29</v>
      </c>
      <c r="E35" s="87">
        <f t="shared" si="0"/>
        <v>45328</v>
      </c>
      <c r="F35">
        <v>4</v>
      </c>
    </row>
    <row r="36" spans="3:6" x14ac:dyDescent="0.25">
      <c r="C36" s="87">
        <f t="shared" si="1"/>
        <v>45329</v>
      </c>
      <c r="D36">
        <v>29</v>
      </c>
      <c r="E36" s="87">
        <f t="shared" si="0"/>
        <v>45358</v>
      </c>
      <c r="F36">
        <v>5</v>
      </c>
    </row>
    <row r="37" spans="3:6" x14ac:dyDescent="0.25">
      <c r="C37" s="87">
        <f t="shared" si="1"/>
        <v>45359</v>
      </c>
      <c r="D37">
        <v>29</v>
      </c>
      <c r="E37" s="87">
        <f t="shared" si="0"/>
        <v>45388</v>
      </c>
      <c r="F37">
        <v>6</v>
      </c>
    </row>
    <row r="38" spans="3:6" x14ac:dyDescent="0.25">
      <c r="C38" s="87">
        <f t="shared" si="1"/>
        <v>45389</v>
      </c>
      <c r="D38">
        <v>29</v>
      </c>
      <c r="E38" s="87">
        <f t="shared" si="0"/>
        <v>45418</v>
      </c>
      <c r="F38">
        <v>7</v>
      </c>
    </row>
    <row r="39" spans="3:6" x14ac:dyDescent="0.25">
      <c r="C39" s="87">
        <f t="shared" si="1"/>
        <v>45419</v>
      </c>
      <c r="D39">
        <v>29</v>
      </c>
      <c r="E39" s="87">
        <f t="shared" si="0"/>
        <v>45448</v>
      </c>
      <c r="F39">
        <v>8</v>
      </c>
    </row>
    <row r="40" spans="3:6" x14ac:dyDescent="0.25">
      <c r="C40" s="87">
        <f t="shared" si="1"/>
        <v>45449</v>
      </c>
      <c r="D40">
        <v>29</v>
      </c>
      <c r="E40" s="87">
        <f t="shared" si="0"/>
        <v>45478</v>
      </c>
      <c r="F40">
        <v>9</v>
      </c>
    </row>
    <row r="41" spans="3:6" x14ac:dyDescent="0.25">
      <c r="C41" s="87">
        <f t="shared" si="1"/>
        <v>45479</v>
      </c>
      <c r="D41">
        <v>29</v>
      </c>
      <c r="E41" s="87">
        <f t="shared" si="0"/>
        <v>45508</v>
      </c>
      <c r="F41">
        <v>10</v>
      </c>
    </row>
    <row r="42" spans="3:6" x14ac:dyDescent="0.25">
      <c r="C42" s="87">
        <f t="shared" si="1"/>
        <v>45509</v>
      </c>
      <c r="D42">
        <v>29</v>
      </c>
      <c r="E42" s="87">
        <f t="shared" si="0"/>
        <v>45538</v>
      </c>
      <c r="F42">
        <v>11</v>
      </c>
    </row>
    <row r="43" spans="3:6" x14ac:dyDescent="0.25">
      <c r="C43" s="87">
        <f t="shared" si="1"/>
        <v>45539</v>
      </c>
      <c r="D43">
        <v>29</v>
      </c>
      <c r="E43" s="87">
        <f t="shared" si="0"/>
        <v>45568</v>
      </c>
      <c r="F43">
        <v>12</v>
      </c>
    </row>
    <row r="44" spans="3:6" x14ac:dyDescent="0.25">
      <c r="C44" s="87">
        <f t="shared" ref="C44" si="2">E43+1</f>
        <v>45569</v>
      </c>
      <c r="D44">
        <v>29</v>
      </c>
      <c r="E44" s="87">
        <f t="shared" ref="E44" si="3">C44+D44</f>
        <v>45598</v>
      </c>
      <c r="F44">
        <v>13</v>
      </c>
    </row>
  </sheetData>
  <protectedRanges>
    <protectedRange sqref="C19:C25 C29:C30" name="Intervalo1"/>
  </protectedRanges>
  <mergeCells count="2">
    <mergeCell ref="B1:G1"/>
    <mergeCell ref="P6:Q6"/>
  </mergeCells>
  <phoneticPr fontId="17" type="noConversion"/>
  <conditionalFormatting sqref="B19:E19 C20:E30">
    <cfRule type="expression" dxfId="2" priority="55">
      <formula>$E19="A VENCER"</formula>
    </cfRule>
    <cfRule type="expression" dxfId="1" priority="56">
      <formula>$E19="VALIDO"</formula>
    </cfRule>
    <cfRule type="expression" dxfId="0" priority="57">
      <formula>$E19="VENCIDO"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FOLHA 2024</vt:lpstr>
      <vt:lpstr>PROLABORE</vt:lpstr>
      <vt:lpstr>PROLABORE 25</vt:lpstr>
      <vt:lpstr>PROLABORE 26</vt:lpstr>
      <vt:lpstr>FOLHA 2025</vt:lpstr>
      <vt:lpstr>FOLHA 2025 (2)</vt:lpstr>
      <vt:lpstr>FOLHA 2026</vt:lpstr>
      <vt:lpstr>FOLHA 2026 open</vt:lpstr>
      <vt:lpstr>MULTA FGTS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Nathieli RH - Esc. Wilson Lopes</cp:lastModifiedBy>
  <cp:lastPrinted>2026-02-03T18:30:22Z</cp:lastPrinted>
  <dcterms:created xsi:type="dcterms:W3CDTF">2023-06-28T11:43:25Z</dcterms:created>
  <dcterms:modified xsi:type="dcterms:W3CDTF">2026-04-28T20:28:19Z</dcterms:modified>
</cp:coreProperties>
</file>